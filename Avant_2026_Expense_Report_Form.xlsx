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Accounting Share\Avant Expense Reports\6 Forms\"/>
    </mc:Choice>
  </mc:AlternateContent>
  <xr:revisionPtr revIDLastSave="0" documentId="8_{274C1898-993A-6449-8982-BED1C4FC7507}" xr6:coauthVersionLast="47" xr6:coauthVersionMax="47" xr10:uidLastSave="{00000000-0000-0000-0000-000000000000}"/>
  <workbookProtection workbookAlgorithmName="SHA-512" workbookHashValue="F1+8rjrup/IaX/EVMG+il6cBtsUh2g/w43Dd3E1MRgBT44ntyuafgrhR6aZZqeS/L0oJ3iB47pH+bcDo0O+F+Q==" workbookSaltValue="WGcMkl3LDAHQKQD3o5Qzag==" workbookSpinCount="100000" lockStructure="1"/>
  <bookViews>
    <workbookView xWindow="-120" yWindow="-120" windowWidth="29040" windowHeight="15720" xr2:uid="{00000000-000D-0000-FFFF-FFFF00000000}"/>
  </bookViews>
  <sheets>
    <sheet name="Expense Report" sheetId="1" r:id="rId1"/>
    <sheet name="Totals" sheetId="3" r:id="rId2"/>
    <sheet name="List" sheetId="2" state="hidden" r:id="rId3"/>
  </sheets>
  <definedNames>
    <definedName name="Code">List!$A$1:$A$14</definedName>
    <definedName name="_xlnm.Print_Area" localSheetId="0">'Expense Report'!$A$1:$M$191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4" i="1" l="1"/>
  <c r="B5" i="3"/>
  <c r="B7" i="3"/>
  <c r="B9" i="3"/>
  <c r="B10" i="3"/>
  <c r="B12" i="3"/>
  <c r="B13" i="3"/>
  <c r="B14" i="3"/>
  <c r="B16" i="3"/>
  <c r="B17" i="3"/>
  <c r="B24" i="3"/>
  <c r="H15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80" i="1"/>
  <c r="B6" i="3"/>
  <c r="H81" i="1"/>
  <c r="H42" i="1"/>
  <c r="H73" i="1"/>
  <c r="G106" i="1"/>
  <c r="H56" i="1"/>
  <c r="F106" i="1"/>
  <c r="H165" i="1"/>
  <c r="H72" i="1"/>
  <c r="H71" i="1"/>
  <c r="H70" i="1"/>
  <c r="H69" i="1"/>
  <c r="H75" i="1"/>
  <c r="H55" i="1"/>
  <c r="H54" i="1"/>
  <c r="H53" i="1"/>
  <c r="H52" i="1"/>
  <c r="H51" i="1"/>
  <c r="B19" i="3"/>
  <c r="H17" i="1"/>
  <c r="H44" i="1"/>
  <c r="H45" i="1"/>
  <c r="H46" i="1"/>
  <c r="H47" i="1"/>
  <c r="H48" i="1"/>
  <c r="H49" i="1"/>
  <c r="H50" i="1"/>
  <c r="H151" i="1"/>
  <c r="H150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A1" i="3"/>
  <c r="B1" i="3"/>
  <c r="H112" i="1"/>
  <c r="B15" i="3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B4" i="3"/>
  <c r="H111" i="1"/>
  <c r="B11" i="3"/>
  <c r="H74" i="1"/>
  <c r="H68" i="1"/>
  <c r="H67" i="1"/>
  <c r="H66" i="1"/>
  <c r="H65" i="1"/>
  <c r="H64" i="1"/>
  <c r="H63" i="1"/>
  <c r="H62" i="1"/>
  <c r="H61" i="1"/>
  <c r="H13" i="1"/>
  <c r="H19" i="1"/>
  <c r="B8" i="3"/>
  <c r="H21" i="1"/>
  <c r="B21" i="3"/>
  <c r="B22" i="3"/>
  <c r="B26" i="3"/>
</calcChain>
</file>

<file path=xl/sharedStrings.xml><?xml version="1.0" encoding="utf-8"?>
<sst xmlns="http://schemas.openxmlformats.org/spreadsheetml/2006/main" count="196" uniqueCount="129">
  <si>
    <t>Avant Ministries</t>
  </si>
  <si>
    <t>Name</t>
  </si>
  <si>
    <t>Date submitted</t>
  </si>
  <si>
    <r>
      <t xml:space="preserve">Account/Project number </t>
    </r>
    <r>
      <rPr>
        <i/>
        <sz val="10"/>
        <rFont val="Arial"/>
        <family val="2"/>
      </rPr>
      <t>(one per report)</t>
    </r>
  </si>
  <si>
    <t>Field</t>
  </si>
  <si>
    <t>Total expenses</t>
  </si>
  <si>
    <t>Advanced funds received</t>
  </si>
  <si>
    <t>Funds received directly</t>
  </si>
  <si>
    <t>Balance due to worker</t>
  </si>
  <si>
    <t>Worker signature</t>
  </si>
  <si>
    <t>Date</t>
  </si>
  <si>
    <t>Supervisor approval</t>
  </si>
  <si>
    <t>Title</t>
  </si>
  <si>
    <t>Accounting approval</t>
  </si>
  <si>
    <t>Amount</t>
  </si>
  <si>
    <t>Date Received</t>
  </si>
  <si>
    <t>Amount and Explanation of Advance</t>
  </si>
  <si>
    <t>to be Cleared</t>
  </si>
  <si>
    <t>Cost in USD or</t>
  </si>
  <si>
    <t>Exchange Rate</t>
  </si>
  <si>
    <t>Cost in</t>
  </si>
  <si>
    <t>Accounting</t>
  </si>
  <si>
    <t>Taxable</t>
  </si>
  <si>
    <t>Advanced</t>
  </si>
  <si>
    <t>From</t>
  </si>
  <si>
    <t>To</t>
  </si>
  <si>
    <t>Ministry Purpose</t>
  </si>
  <si>
    <t>Local Currency</t>
  </si>
  <si>
    <t>Local To USD</t>
  </si>
  <si>
    <t>USD</t>
  </si>
  <si>
    <t>Code</t>
  </si>
  <si>
    <t>"x"</t>
  </si>
  <si>
    <t>Who</t>
  </si>
  <si>
    <t>Where</t>
  </si>
  <si>
    <t>In USD</t>
  </si>
  <si>
    <t>Total Distance:</t>
  </si>
  <si>
    <t>8420 - Travel</t>
  </si>
  <si>
    <t>8401 - Salary</t>
  </si>
  <si>
    <t>Description &amp; Ministry Purpose</t>
  </si>
  <si>
    <t>From Whom</t>
  </si>
  <si>
    <t>Address</t>
  </si>
  <si>
    <t>ALLOWABLE MINISTRY EXPENSES</t>
  </si>
  <si>
    <t>NOT ALLOWABLE</t>
  </si>
  <si>
    <t>1)</t>
  </si>
  <si>
    <t>HMA and field travel</t>
  </si>
  <si>
    <t>2)</t>
  </si>
  <si>
    <t>3)</t>
  </si>
  <si>
    <t>Field equipment: computers, musical instruments</t>
  </si>
  <si>
    <t>4)</t>
  </si>
  <si>
    <t>up to 50% of monthly internet and phone expenses</t>
  </si>
  <si>
    <t>Passage, freight, duty</t>
  </si>
  <si>
    <t>5)</t>
  </si>
  <si>
    <t>Office supplies</t>
  </si>
  <si>
    <t>6)</t>
  </si>
  <si>
    <t>Literature &amp; books used in ministry</t>
  </si>
  <si>
    <t>7)</t>
  </si>
  <si>
    <t>8)</t>
  </si>
  <si>
    <t>Prayer letter expenses</t>
  </si>
  <si>
    <t>9)</t>
  </si>
  <si>
    <t>Outgoing setup expenses</t>
  </si>
  <si>
    <t>10)</t>
  </si>
  <si>
    <t>Field projects: radio, camp, schools, churches</t>
  </si>
  <si>
    <t>11)</t>
  </si>
  <si>
    <t>National workers approved by field</t>
  </si>
  <si>
    <t>12)</t>
  </si>
  <si>
    <t>Language school: tuition, books, fees</t>
  </si>
  <si>
    <t>13)</t>
  </si>
  <si>
    <t>Government registration fees, visas, passports, immunizations</t>
  </si>
  <si>
    <t>14)</t>
  </si>
  <si>
    <t>Field council and conference meetings</t>
  </si>
  <si>
    <t>15)</t>
  </si>
  <si>
    <t>Entertainment (if ministry related)</t>
  </si>
  <si>
    <t>16)</t>
  </si>
  <si>
    <t>Food hospitality per diem @ $8 per meal per person (if ministry related)</t>
  </si>
  <si>
    <t>17)</t>
  </si>
  <si>
    <t>School for children, including tuition, room &amp; board, and transportation to school (taxable)</t>
  </si>
  <si>
    <t>18)</t>
  </si>
  <si>
    <t>Vehicles—one every five years (car becomes property of missionary and is taxable)</t>
  </si>
  <si>
    <t>19)</t>
  </si>
  <si>
    <t>20)</t>
  </si>
  <si>
    <t>Ministry travel of nonemployed spouse or children (taxable)</t>
  </si>
  <si>
    <t>21)</t>
  </si>
  <si>
    <t>Ministry mileage at rate set by IRS as long as detailed mileage log is submitted</t>
  </si>
  <si>
    <t>8407 - Utilities</t>
  </si>
  <si>
    <t>8433 - Printing</t>
  </si>
  <si>
    <t>8434 - Office Supplies</t>
  </si>
  <si>
    <t>8435 - Food</t>
  </si>
  <si>
    <t>8440 - Office Equipment</t>
  </si>
  <si>
    <t>8441 - Computers &amp; Technology</t>
  </si>
  <si>
    <t>8451 - Construction</t>
  </si>
  <si>
    <t>8457 - Postage</t>
  </si>
  <si>
    <t>8459 - Legal &amp; Audit</t>
  </si>
  <si>
    <t>8464 - Meals &amp; Entertainment</t>
  </si>
  <si>
    <t>8466 - Seminars &amp; Conferences</t>
  </si>
  <si>
    <t>8473 - Training</t>
  </si>
  <si>
    <t>5100.001 - Contributions</t>
  </si>
  <si>
    <t>Kilometers</t>
  </si>
  <si>
    <t>2199.150 - Taxable</t>
  </si>
  <si>
    <t>Personal setup items for first-term missionary and moving expenses, up to $8,000 per single and $10,500 per couple, plus $500 per child (taxable)</t>
  </si>
  <si>
    <t>Expense Report 2026</t>
  </si>
  <si>
    <t xml:space="preserve">Food (except while traveling), clothing, other personal items
</t>
  </si>
  <si>
    <t>Medical expenses (except for visa)</t>
  </si>
  <si>
    <t>Personal trips home for wedding, graduations, funerals</t>
  </si>
  <si>
    <t>Travel/Milage while commuting from home to regular place of ministry</t>
  </si>
  <si>
    <t>Storage of personal items while on furlough</t>
  </si>
  <si>
    <t>Security guards, maids or gardeners for personal residence</t>
  </si>
  <si>
    <t>Mileage at some % of total expenses when a log is not maintained</t>
  </si>
  <si>
    <t>Luggage except as covered in #19 in allowance section</t>
  </si>
  <si>
    <t xml:space="preserve"> (airline fees for baggage is allowed)</t>
  </si>
  <si>
    <t xml:space="preserve">Household equipment that will be used in Avant-owned property and </t>
  </si>
  <si>
    <t>will remain Avant property</t>
  </si>
  <si>
    <r>
      <t>TOTAL EXPENSES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(listed on top of page)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$</t>
    </r>
  </si>
  <si>
    <t>Advanced Funds Received</t>
  </si>
  <si>
    <t>2010.150 - Taxable</t>
  </si>
  <si>
    <t>2010.114 - Advance</t>
  </si>
  <si>
    <r>
      <t>Ministry Entertainment</t>
    </r>
    <r>
      <rPr>
        <i/>
        <sz val="14"/>
        <rFont val="Arial"/>
        <family val="2"/>
      </rPr>
      <t xml:space="preserve"> </t>
    </r>
    <r>
      <rPr>
        <i/>
        <sz val="11"/>
        <rFont val="Arial"/>
        <family val="2"/>
      </rPr>
      <t>(attach receipts for amounts over $75, please mark dependent entertainment as taxable):</t>
    </r>
  </si>
  <si>
    <r>
      <t>Travel</t>
    </r>
    <r>
      <rPr>
        <sz val="14"/>
        <rFont val="Arial"/>
        <family val="2"/>
      </rPr>
      <t xml:space="preserve"> - air, bus, taxi</t>
    </r>
    <r>
      <rPr>
        <b/>
        <sz val="14"/>
        <rFont val="Arial"/>
        <family val="2"/>
      </rPr>
      <t xml:space="preserve"> </t>
    </r>
    <r>
      <rPr>
        <i/>
        <sz val="11"/>
        <rFont val="Arial"/>
        <family val="2"/>
      </rPr>
      <t>(attach receipts for amounts over $75, please mark dependent travel as taxable)</t>
    </r>
  </si>
  <si>
    <r>
      <t>Automobile Mileage</t>
    </r>
    <r>
      <rPr>
        <sz val="14"/>
        <rFont val="Arial"/>
        <family val="2"/>
      </rPr>
      <t xml:space="preserve"> </t>
    </r>
    <r>
      <rPr>
        <i/>
        <sz val="11"/>
        <rFont val="Arial"/>
        <family val="2"/>
      </rPr>
      <t>(please mark dependent travel as taxable):</t>
    </r>
  </si>
  <si>
    <r>
      <t xml:space="preserve">Other Expenses </t>
    </r>
    <r>
      <rPr>
        <i/>
        <sz val="11"/>
        <rFont val="Arial"/>
        <family val="2"/>
      </rPr>
      <t>(attach receipts for amounts over $75, please mark setup and dependent expense as taxable):</t>
    </r>
  </si>
  <si>
    <t>Travel per diem @ $50 per night (lodging), $30 per day (meals)</t>
  </si>
  <si>
    <t>Accounting Code</t>
  </si>
  <si>
    <t>(Select from Dropdown)</t>
  </si>
  <si>
    <t>Optional</t>
  </si>
  <si>
    <t>Miles</t>
  </si>
  <si>
    <t>(Taxable Total</t>
  </si>
  <si>
    <t>)</t>
  </si>
  <si>
    <r>
      <t xml:space="preserve">Honorariums, offering and ministry gifts received directly </t>
    </r>
    <r>
      <rPr>
        <i/>
        <sz val="12"/>
        <rFont val="Arial"/>
        <family val="2"/>
      </rPr>
      <t>(do not list contributions sent to home office or advances received):</t>
    </r>
  </si>
  <si>
    <t>Total</t>
  </si>
  <si>
    <t>Total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</si>
</sst>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[$$-409]#,##0.00"/>
    <numFmt numFmtId="165" formatCode="m/d/yyyy;@"/>
    <numFmt numFmtId="166" formatCode="m/d/yy;@"/>
    <numFmt numFmtId="167" formatCode="0;\-0;;@"/>
    <numFmt numFmtId="168" formatCode="0.00;\-0.00;;@"/>
    <numFmt numFmtId="169" formatCode=";;;"/>
    <numFmt numFmtId="170" formatCode="&quot;$&quot;#,##0.000_);[Red]\(&quot;$&quot;#,##0.000\)"/>
  </numFmts>
  <fonts count="21" x14ac:knownFonts="1">
    <font>
      <sz val="10"/>
      <name val="Arial"/>
    </font>
    <font>
      <b/>
      <sz val="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0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sz val="16"/>
      <name val="Arial"/>
      <family val="2"/>
    </font>
    <font>
      <i/>
      <sz val="11"/>
      <name val="Arial"/>
      <family val="2"/>
    </font>
    <font>
      <i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27">
    <xf numFmtId="0" fontId="0" fillId="0" borderId="0" xfId="0"/>
    <xf numFmtId="0" fontId="10" fillId="0" borderId="0" xfId="0" applyFont="1"/>
    <xf numFmtId="0" fontId="14" fillId="0" borderId="0" xfId="0" applyFont="1"/>
    <xf numFmtId="43" fontId="10" fillId="0" borderId="0" xfId="1" applyFont="1"/>
    <xf numFmtId="0" fontId="10" fillId="0" borderId="3" xfId="1" applyNumberFormat="1" applyFont="1" applyBorder="1"/>
    <xf numFmtId="0" fontId="10" fillId="0" borderId="3" xfId="0" applyFont="1" applyBorder="1"/>
    <xf numFmtId="43" fontId="10" fillId="0" borderId="3" xfId="1" applyFont="1" applyBorder="1"/>
    <xf numFmtId="166" fontId="10" fillId="3" borderId="3" xfId="0" applyNumberFormat="1" applyFont="1" applyFill="1" applyBorder="1" applyAlignment="1" applyProtection="1">
      <alignment horizontal="center"/>
      <protection locked="0"/>
    </xf>
    <xf numFmtId="0" fontId="10" fillId="3" borderId="3" xfId="0" applyFont="1" applyFill="1" applyBorder="1" applyProtection="1">
      <protection locked="0"/>
    </xf>
    <xf numFmtId="0" fontId="10" fillId="3" borderId="5" xfId="0" applyFont="1" applyFill="1" applyBorder="1" applyAlignment="1" applyProtection="1">
      <alignment horizontal="center"/>
      <protection locked="0"/>
    </xf>
    <xf numFmtId="4" fontId="10" fillId="3" borderId="4" xfId="0" applyNumberFormat="1" applyFont="1" applyFill="1" applyBorder="1" applyAlignment="1" applyProtection="1">
      <alignment horizontal="center"/>
      <protection locked="0"/>
    </xf>
    <xf numFmtId="0" fontId="10" fillId="3" borderId="3" xfId="0" applyFont="1" applyFill="1" applyBorder="1" applyAlignment="1" applyProtection="1">
      <alignment horizontal="center"/>
      <protection locked="0"/>
    </xf>
    <xf numFmtId="0" fontId="10" fillId="3" borderId="4" xfId="0" applyFont="1" applyFill="1" applyBorder="1" applyProtection="1">
      <protection locked="0"/>
    </xf>
    <xf numFmtId="0" fontId="10" fillId="0" borderId="3" xfId="0" applyFont="1" applyBorder="1" applyAlignment="1">
      <alignment horizontal="left"/>
    </xf>
    <xf numFmtId="166" fontId="10" fillId="3" borderId="5" xfId="0" applyNumberFormat="1" applyFont="1" applyFill="1" applyBorder="1" applyAlignment="1" applyProtection="1">
      <alignment horizontal="center"/>
      <protection locked="0"/>
    </xf>
    <xf numFmtId="0" fontId="10" fillId="3" borderId="4" xfId="0" applyFont="1" applyFill="1" applyBorder="1" applyAlignment="1" applyProtection="1">
      <alignment horizontal="left"/>
      <protection locked="0"/>
    </xf>
    <xf numFmtId="0" fontId="10" fillId="3" borderId="5" xfId="0" applyFont="1" applyFill="1" applyBorder="1" applyAlignment="1" applyProtection="1">
      <alignment horizontal="left"/>
      <protection locked="0"/>
    </xf>
    <xf numFmtId="0" fontId="10" fillId="3" borderId="6" xfId="0" applyFont="1" applyFill="1" applyBorder="1" applyAlignment="1" applyProtection="1">
      <alignment horizontal="left"/>
      <protection locked="0"/>
    </xf>
    <xf numFmtId="168" fontId="10" fillId="3" borderId="3" xfId="0" applyNumberFormat="1" applyFont="1" applyFill="1" applyBorder="1" applyProtection="1">
      <protection locked="0"/>
    </xf>
    <xf numFmtId="4" fontId="10" fillId="3" borderId="3" xfId="0" applyNumberFormat="1" applyFont="1" applyFill="1" applyBorder="1" applyAlignment="1" applyProtection="1">
      <alignment horizontal="center"/>
      <protection locked="0"/>
    </xf>
    <xf numFmtId="4" fontId="10" fillId="3" borderId="4" xfId="0" applyNumberFormat="1" applyFont="1" applyFill="1" applyBorder="1" applyProtection="1">
      <protection locked="0"/>
    </xf>
    <xf numFmtId="0" fontId="10" fillId="3" borderId="6" xfId="0" applyFont="1" applyFill="1" applyBorder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166" fontId="10" fillId="3" borderId="5" xfId="0" applyNumberFormat="1" applyFont="1" applyFill="1" applyBorder="1" applyProtection="1">
      <protection locked="0"/>
    </xf>
    <xf numFmtId="4" fontId="10" fillId="3" borderId="3" xfId="0" applyNumberFormat="1" applyFont="1" applyFill="1" applyBorder="1" applyProtection="1">
      <protection locked="0"/>
    </xf>
    <xf numFmtId="2" fontId="10" fillId="3" borderId="3" xfId="0" applyNumberFormat="1" applyFont="1" applyFill="1" applyBorder="1" applyAlignment="1" applyProtection="1">
      <alignment horizontal="center"/>
      <protection locked="0"/>
    </xf>
    <xf numFmtId="0" fontId="10" fillId="0" borderId="3" xfId="1" applyNumberFormat="1" applyFont="1" applyFill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1" fillId="0" borderId="0" xfId="0" applyFont="1"/>
    <xf numFmtId="0" fontId="5" fillId="0" borderId="0" xfId="0" applyFont="1"/>
    <xf numFmtId="0" fontId="7" fillId="0" borderId="0" xfId="0" applyFont="1" applyAlignment="1">
      <alignment vertical="top"/>
    </xf>
    <xf numFmtId="0" fontId="2" fillId="0" borderId="0" xfId="0" applyFont="1" applyAlignment="1">
      <alignment horizontal="right"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11" fillId="0" borderId="3" xfId="0" applyFont="1" applyBorder="1"/>
    <xf numFmtId="43" fontId="11" fillId="0" borderId="3" xfId="1" applyFont="1" applyBorder="1"/>
    <xf numFmtId="0" fontId="3" fillId="0" borderId="0" xfId="0" applyFont="1"/>
    <xf numFmtId="165" fontId="5" fillId="0" borderId="0" xfId="0" applyNumberFormat="1" applyFont="1"/>
    <xf numFmtId="165" fontId="5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7" fontId="5" fillId="0" borderId="0" xfId="0" applyNumberFormat="1" applyFont="1"/>
    <xf numFmtId="0" fontId="6" fillId="0" borderId="2" xfId="0" applyFont="1" applyBorder="1"/>
    <xf numFmtId="0" fontId="2" fillId="0" borderId="2" xfId="0" applyFont="1" applyBorder="1"/>
    <xf numFmtId="0" fontId="5" fillId="0" borderId="2" xfId="0" applyFont="1" applyBorder="1"/>
    <xf numFmtId="4" fontId="6" fillId="0" borderId="2" xfId="0" applyNumberFormat="1" applyFont="1" applyBorder="1"/>
    <xf numFmtId="4" fontId="6" fillId="0" borderId="0" xfId="0" applyNumberFormat="1" applyFont="1"/>
    <xf numFmtId="0" fontId="7" fillId="0" borderId="7" xfId="0" applyFont="1" applyBorder="1"/>
    <xf numFmtId="0" fontId="2" fillId="0" borderId="7" xfId="0" applyFont="1" applyBorder="1"/>
    <xf numFmtId="0" fontId="5" fillId="0" borderId="7" xfId="0" applyFont="1" applyBorder="1"/>
    <xf numFmtId="4" fontId="7" fillId="0" borderId="7" xfId="0" applyNumberFormat="1" applyFont="1" applyBorder="1"/>
    <xf numFmtId="2" fontId="2" fillId="0" borderId="2" xfId="0" applyNumberFormat="1" applyFont="1" applyBorder="1"/>
    <xf numFmtId="165" fontId="2" fillId="0" borderId="0" xfId="0" applyNumberFormat="1" applyFont="1"/>
    <xf numFmtId="165" fontId="2" fillId="0" borderId="0" xfId="0" applyNumberFormat="1" applyFont="1" applyAlignment="1">
      <alignment horizontal="left"/>
    </xf>
    <xf numFmtId="0" fontId="6" fillId="0" borderId="1" xfId="0" applyFont="1" applyBorder="1"/>
    <xf numFmtId="49" fontId="6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right"/>
    </xf>
    <xf numFmtId="4" fontId="6" fillId="0" borderId="0" xfId="0" applyNumberFormat="1" applyFont="1" applyAlignment="1">
      <alignment horizontal="left"/>
    </xf>
    <xf numFmtId="0" fontId="2" fillId="2" borderId="0" xfId="0" applyFont="1" applyFill="1" applyAlignment="1">
      <alignment vertical="center"/>
    </xf>
    <xf numFmtId="0" fontId="12" fillId="0" borderId="0" xfId="0" applyFont="1" applyAlignment="1">
      <alignment horizontal="center"/>
    </xf>
    <xf numFmtId="7" fontId="11" fillId="0" borderId="0" xfId="0" applyNumberFormat="1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4" fontId="10" fillId="0" borderId="0" xfId="0" applyNumberFormat="1" applyFont="1" applyAlignment="1">
      <alignment horizontal="left" indent="1"/>
    </xf>
    <xf numFmtId="0" fontId="3" fillId="2" borderId="6" xfId="0" applyFont="1" applyFill="1" applyBorder="1" applyAlignment="1">
      <alignment horizontal="center" vertical="center"/>
    </xf>
    <xf numFmtId="0" fontId="17" fillId="2" borderId="0" xfId="0" applyFont="1" applyFill="1"/>
    <xf numFmtId="4" fontId="10" fillId="0" borderId="3" xfId="0" applyNumberFormat="1" applyFont="1" applyBorder="1" applyAlignment="1">
      <alignment horizontal="center"/>
    </xf>
    <xf numFmtId="4" fontId="10" fillId="0" borderId="0" xfId="0" applyNumberFormat="1" applyFont="1" applyAlignment="1">
      <alignment horizontal="center"/>
    </xf>
    <xf numFmtId="0" fontId="17" fillId="2" borderId="0" xfId="0" applyFont="1" applyFill="1" applyAlignment="1">
      <alignment vertical="center"/>
    </xf>
    <xf numFmtId="4" fontId="10" fillId="0" borderId="1" xfId="0" applyNumberFormat="1" applyFont="1" applyBorder="1" applyAlignment="1">
      <alignment horizontal="left" indent="1"/>
    </xf>
    <xf numFmtId="0" fontId="3" fillId="2" borderId="0" xfId="0" applyFont="1" applyFill="1" applyAlignment="1">
      <alignment horizontal="left" vertical="center"/>
    </xf>
    <xf numFmtId="170" fontId="11" fillId="0" borderId="0" xfId="0" applyNumberFormat="1" applyFont="1" applyAlignment="1">
      <alignment horizontal="center" wrapText="1"/>
    </xf>
    <xf numFmtId="8" fontId="11" fillId="0" borderId="0" xfId="0" applyNumberFormat="1" applyFont="1" applyAlignment="1">
      <alignment horizontal="center"/>
    </xf>
    <xf numFmtId="7" fontId="2" fillId="0" borderId="0" xfId="0" applyNumberFormat="1" applyFont="1"/>
    <xf numFmtId="0" fontId="8" fillId="0" borderId="0" xfId="0" applyFont="1"/>
    <xf numFmtId="167" fontId="10" fillId="0" borderId="3" xfId="0" applyNumberFormat="1" applyFont="1" applyBorder="1"/>
    <xf numFmtId="169" fontId="10" fillId="0" borderId="0" xfId="0" applyNumberFormat="1" applyFont="1"/>
    <xf numFmtId="168" fontId="10" fillId="0" borderId="0" xfId="0" applyNumberFormat="1" applyFont="1"/>
    <xf numFmtId="0" fontId="18" fillId="2" borderId="0" xfId="0" applyFont="1" applyFill="1" applyAlignment="1">
      <alignment vertical="center"/>
    </xf>
    <xf numFmtId="0" fontId="2" fillId="0" borderId="0" xfId="0" applyFont="1" applyAlignment="1">
      <alignment horizontal="right"/>
    </xf>
    <xf numFmtId="7" fontId="10" fillId="0" borderId="0" xfId="0" applyNumberFormat="1" applyFont="1"/>
    <xf numFmtId="0" fontId="8" fillId="0" borderId="0" xfId="0" applyFont="1" applyAlignment="1">
      <alignment horizontal="right"/>
    </xf>
    <xf numFmtId="39" fontId="10" fillId="0" borderId="2" xfId="0" applyNumberFormat="1" applyFont="1" applyBorder="1" applyAlignment="1">
      <alignment horizontal="center"/>
    </xf>
    <xf numFmtId="39" fontId="10" fillId="0" borderId="0" xfId="0" applyNumberFormat="1" applyFont="1" applyAlignment="1">
      <alignment horizontal="center"/>
    </xf>
    <xf numFmtId="7" fontId="11" fillId="0" borderId="0" xfId="0" applyNumberFormat="1" applyFont="1"/>
    <xf numFmtId="168" fontId="5" fillId="0" borderId="0" xfId="0" applyNumberFormat="1" applyFont="1"/>
    <xf numFmtId="0" fontId="10" fillId="0" borderId="0" xfId="0" applyFont="1" applyAlignment="1">
      <alignment horizontal="left"/>
    </xf>
    <xf numFmtId="168" fontId="10" fillId="0" borderId="6" xfId="0" applyNumberFormat="1" applyFont="1" applyBorder="1"/>
    <xf numFmtId="164" fontId="2" fillId="0" borderId="0" xfId="0" applyNumberFormat="1" applyFont="1"/>
    <xf numFmtId="0" fontId="7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0" borderId="0" xfId="0" applyFont="1"/>
    <xf numFmtId="0" fontId="15" fillId="0" borderId="0" xfId="0" applyFont="1"/>
    <xf numFmtId="1" fontId="10" fillId="0" borderId="3" xfId="0" applyNumberFormat="1" applyFont="1" applyBorder="1" applyAlignment="1">
      <alignment horizontal="center"/>
    </xf>
    <xf numFmtId="4" fontId="10" fillId="3" borderId="3" xfId="0" applyNumberFormat="1" applyFont="1" applyFill="1" applyBorder="1" applyAlignment="1" applyProtection="1">
      <alignment horizontal="left" indent="1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10" fillId="3" borderId="4" xfId="0" applyFont="1" applyFill="1" applyBorder="1" applyAlignment="1" applyProtection="1">
      <alignment horizontal="left"/>
      <protection locked="0"/>
    </xf>
    <xf numFmtId="0" fontId="10" fillId="3" borderId="6" xfId="0" applyFont="1" applyFill="1" applyBorder="1" applyAlignment="1" applyProtection="1">
      <alignment horizontal="left"/>
      <protection locked="0"/>
    </xf>
    <xf numFmtId="0" fontId="10" fillId="3" borderId="5" xfId="0" applyFont="1" applyFill="1" applyBorder="1" applyAlignment="1" applyProtection="1">
      <alignment horizontal="left"/>
      <protection locked="0"/>
    </xf>
    <xf numFmtId="0" fontId="7" fillId="0" borderId="0" xfId="0" applyFont="1" applyAlignment="1">
      <alignment horizontal="left" vertical="top"/>
    </xf>
    <xf numFmtId="0" fontId="11" fillId="0" borderId="2" xfId="0" applyFont="1" applyBorder="1" applyAlignment="1">
      <alignment horizontal="center"/>
    </xf>
    <xf numFmtId="0" fontId="3" fillId="2" borderId="0" xfId="0" applyFont="1" applyFill="1" applyAlignment="1">
      <alignment horizontal="left"/>
    </xf>
    <xf numFmtId="0" fontId="5" fillId="3" borderId="2" xfId="0" applyFont="1" applyFill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2" borderId="6" xfId="0" applyFont="1" applyFill="1" applyBorder="1" applyAlignment="1">
      <alignment horizontal="left" vertical="center"/>
    </xf>
    <xf numFmtId="165" fontId="5" fillId="3" borderId="2" xfId="0" applyNumberFormat="1" applyFont="1" applyFill="1" applyBorder="1" applyAlignment="1" applyProtection="1">
      <alignment horizontal="left"/>
      <protection locked="0"/>
    </xf>
    <xf numFmtId="166" fontId="10" fillId="3" borderId="4" xfId="0" applyNumberFormat="1" applyFont="1" applyFill="1" applyBorder="1" applyAlignment="1" applyProtection="1">
      <alignment horizontal="center"/>
      <protection locked="0"/>
    </xf>
    <xf numFmtId="166" fontId="10" fillId="3" borderId="5" xfId="0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10" Type="http://schemas.openxmlformats.org/officeDocument/2006/relationships/customXml" Target="../customXml/item3.xml" /><Relationship Id="rId4" Type="http://schemas.openxmlformats.org/officeDocument/2006/relationships/theme" Target="theme/theme1.xml" /><Relationship Id="rId9" Type="http://schemas.openxmlformats.org/officeDocument/2006/relationships/customXml" Target="../customXml/item2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714375</xdr:colOff>
          <xdr:row>190</xdr:row>
          <xdr:rowOff>0</xdr:rowOff>
        </xdr:from>
        <xdr:to>
          <xdr:col>12</xdr:col>
          <xdr:colOff>914400</xdr:colOff>
          <xdr:row>190</xdr:row>
          <xdr:rowOff>209550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714375</xdr:colOff>
          <xdr:row>190</xdr:row>
          <xdr:rowOff>0</xdr:rowOff>
        </xdr:from>
        <xdr:to>
          <xdr:col>12</xdr:col>
          <xdr:colOff>914400</xdr:colOff>
          <xdr:row>190</xdr:row>
          <xdr:rowOff>209550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714375</xdr:colOff>
          <xdr:row>190</xdr:row>
          <xdr:rowOff>0</xdr:rowOff>
        </xdr:from>
        <xdr:to>
          <xdr:col>12</xdr:col>
          <xdr:colOff>914400</xdr:colOff>
          <xdr:row>190</xdr:row>
          <xdr:rowOff>209550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6" Type="http://schemas.openxmlformats.org/officeDocument/2006/relationships/ctrlProp" Target="../ctrlProps/ctrlProp3.xml" /><Relationship Id="rId5" Type="http://schemas.openxmlformats.org/officeDocument/2006/relationships/ctrlProp" Target="../ctrlProps/ctrlProp2.xml" /><Relationship Id="rId4" Type="http://schemas.openxmlformats.org/officeDocument/2006/relationships/ctrlProp" Target="../ctrlProps/ctrlProp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R214"/>
  <sheetViews>
    <sheetView showGridLines="0" tabSelected="1" topLeftCell="A6" zoomScaleNormal="100" zoomScaleSheetLayoutView="50" zoomScalePageLayoutView="70" workbookViewId="0">
      <selection activeCell="C6" sqref="C6:E6"/>
    </sheetView>
  </sheetViews>
  <sheetFormatPr defaultColWidth="0" defaultRowHeight="12.75" x14ac:dyDescent="0.15"/>
  <cols>
    <col min="1" max="1" width="8.76171875" style="30" customWidth="1"/>
    <col min="2" max="2" width="9.03515625" style="30" customWidth="1"/>
    <col min="3" max="3" width="14.96875" style="27" customWidth="1"/>
    <col min="4" max="4" width="15.1015625" style="27" customWidth="1"/>
    <col min="5" max="5" width="21.84375" style="27" customWidth="1"/>
    <col min="6" max="6" width="14.42578125" style="27" customWidth="1"/>
    <col min="7" max="7" width="13.88671875" style="27" customWidth="1"/>
    <col min="8" max="8" width="16.31640625" style="84" customWidth="1"/>
    <col min="9" max="9" width="3.234375" style="84" customWidth="1"/>
    <col min="10" max="11" width="9.70703125" style="84" customWidth="1"/>
    <col min="12" max="12" width="3.234375" style="84" customWidth="1"/>
    <col min="13" max="13" width="25.75390625" style="84" customWidth="1"/>
    <col min="14" max="14" width="0" style="27" hidden="1" customWidth="1"/>
    <col min="15" max="16" width="9.9765625" style="27" hidden="1" customWidth="1"/>
    <col min="17" max="18" width="0" style="27" hidden="1" customWidth="1"/>
    <col min="19" max="16384" width="9.9765625" style="27" hidden="1"/>
  </cols>
  <sheetData>
    <row r="2" spans="1:14" ht="24.6" customHeight="1" x14ac:dyDescent="0.3">
      <c r="A2" s="27"/>
      <c r="B2" s="106"/>
      <c r="C2" s="106" t="s">
        <v>0</v>
      </c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4" ht="17.25" customHeight="1" x14ac:dyDescent="0.2">
      <c r="A3" s="27"/>
      <c r="B3" s="44"/>
      <c r="C3" s="44" t="s">
        <v>99</v>
      </c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7.25" customHeight="1" x14ac:dyDescent="0.1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4" ht="14.25" x14ac:dyDescent="0.15">
      <c r="A5" s="29"/>
      <c r="B5" s="37"/>
      <c r="C5" s="37"/>
      <c r="D5" s="37"/>
      <c r="E5" s="37"/>
      <c r="F5" s="45"/>
      <c r="G5" s="45"/>
      <c r="H5" s="45"/>
      <c r="I5" s="45"/>
      <c r="J5" s="45"/>
      <c r="K5" s="45"/>
      <c r="L5" s="45"/>
      <c r="M5" s="46"/>
    </row>
    <row r="6" spans="1:14" ht="14.25" x14ac:dyDescent="0.15">
      <c r="A6" s="29"/>
      <c r="B6" s="37"/>
      <c r="C6" s="119"/>
      <c r="D6" s="119"/>
      <c r="E6" s="119"/>
      <c r="F6" s="51"/>
      <c r="G6" s="124"/>
      <c r="H6" s="124"/>
      <c r="I6" s="124"/>
      <c r="J6" s="124"/>
      <c r="K6" s="45"/>
      <c r="L6" s="45"/>
      <c r="M6" s="45"/>
      <c r="N6" s="29"/>
    </row>
    <row r="7" spans="1:14" ht="14.25" x14ac:dyDescent="0.15">
      <c r="A7" s="29"/>
      <c r="C7" s="120" t="s">
        <v>1</v>
      </c>
      <c r="D7" s="120"/>
      <c r="E7" s="120"/>
      <c r="F7" s="48"/>
      <c r="G7" s="120" t="s">
        <v>2</v>
      </c>
      <c r="H7" s="120"/>
      <c r="I7" s="47"/>
      <c r="J7" s="47"/>
      <c r="K7" s="48"/>
      <c r="L7" s="48"/>
      <c r="M7" s="49"/>
      <c r="N7" s="50"/>
    </row>
    <row r="8" spans="1:14" ht="14.25" x14ac:dyDescent="0.15">
      <c r="A8" s="29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29"/>
    </row>
    <row r="9" spans="1:14" ht="14.25" x14ac:dyDescent="0.15">
      <c r="A9" s="29"/>
      <c r="B9" s="37"/>
      <c r="C9" s="119"/>
      <c r="D9" s="119"/>
      <c r="E9" s="119"/>
      <c r="F9" s="51"/>
      <c r="G9" s="119"/>
      <c r="H9" s="119"/>
      <c r="I9" s="119"/>
      <c r="J9" s="119"/>
      <c r="K9" s="37"/>
      <c r="L9" s="37"/>
      <c r="M9" s="37"/>
      <c r="N9" s="29"/>
    </row>
    <row r="10" spans="1:14" ht="14.25" x14ac:dyDescent="0.15">
      <c r="A10" s="29"/>
      <c r="C10" s="120" t="s">
        <v>3</v>
      </c>
      <c r="D10" s="120"/>
      <c r="E10" s="120"/>
      <c r="F10" s="48"/>
      <c r="G10" s="120" t="s">
        <v>4</v>
      </c>
      <c r="H10" s="120"/>
      <c r="I10" s="47"/>
      <c r="J10" s="47"/>
      <c r="K10" s="48"/>
      <c r="L10" s="48"/>
      <c r="M10" s="49"/>
      <c r="N10" s="50"/>
    </row>
    <row r="11" spans="1:14" ht="14.25" x14ac:dyDescent="0.15">
      <c r="A11" s="29"/>
      <c r="B11" s="51"/>
      <c r="C11" s="51"/>
      <c r="D11" s="51"/>
      <c r="E11" s="51"/>
      <c r="F11" s="51"/>
      <c r="G11" s="51"/>
      <c r="H11" s="52"/>
      <c r="I11" s="52"/>
      <c r="J11" s="52"/>
      <c r="K11" s="52"/>
      <c r="L11" s="52"/>
      <c r="M11" s="52"/>
    </row>
    <row r="12" spans="1:14" ht="14.25" x14ac:dyDescent="0.15">
      <c r="A12" s="29"/>
      <c r="B12" s="29"/>
      <c r="C12" s="29"/>
      <c r="D12" s="29"/>
      <c r="E12" s="29"/>
      <c r="F12" s="37"/>
      <c r="G12" s="29"/>
      <c r="H12" s="52"/>
      <c r="I12" s="52"/>
      <c r="J12" s="52"/>
      <c r="K12" s="52"/>
      <c r="L12" s="52"/>
      <c r="M12" s="52"/>
    </row>
    <row r="13" spans="1:14" ht="14.25" x14ac:dyDescent="0.15">
      <c r="A13" s="29"/>
      <c r="B13" s="29"/>
      <c r="D13" s="53" t="s">
        <v>5</v>
      </c>
      <c r="E13" s="54"/>
      <c r="F13" s="55"/>
      <c r="G13" s="54"/>
      <c r="H13" s="56">
        <f>H154</f>
        <v>0</v>
      </c>
      <c r="I13" s="57"/>
      <c r="J13" s="57"/>
      <c r="K13" s="57"/>
      <c r="L13" s="57"/>
      <c r="M13" s="52"/>
      <c r="N13" s="29"/>
    </row>
    <row r="14" spans="1:14" ht="14.25" x14ac:dyDescent="0.15">
      <c r="A14" s="29"/>
      <c r="B14" s="29"/>
      <c r="C14" s="37"/>
      <c r="F14" s="37"/>
      <c r="H14" s="57"/>
      <c r="I14" s="57"/>
      <c r="J14" s="57"/>
      <c r="K14" s="57"/>
      <c r="L14" s="57"/>
      <c r="M14" s="52"/>
      <c r="N14" s="29"/>
    </row>
    <row r="15" spans="1:14" ht="14.25" x14ac:dyDescent="0.15">
      <c r="A15" s="29"/>
      <c r="B15" s="29"/>
      <c r="C15" s="37"/>
      <c r="D15" s="53" t="s">
        <v>6</v>
      </c>
      <c r="E15" s="54"/>
      <c r="F15" s="55"/>
      <c r="G15" s="54"/>
      <c r="H15" s="56">
        <f>-H37</f>
        <v>0</v>
      </c>
      <c r="I15" s="57"/>
      <c r="J15" s="57"/>
      <c r="K15" s="57"/>
      <c r="L15" s="57"/>
      <c r="M15" s="52"/>
      <c r="N15" s="29"/>
    </row>
    <row r="16" spans="1:14" ht="14.25" x14ac:dyDescent="0.15">
      <c r="A16" s="29"/>
      <c r="B16" s="29"/>
      <c r="C16" s="37"/>
      <c r="F16" s="37"/>
      <c r="H16" s="57"/>
      <c r="I16" s="57"/>
      <c r="J16" s="57"/>
      <c r="K16" s="57"/>
      <c r="L16" s="57"/>
      <c r="M16" s="52"/>
      <c r="N16" s="29"/>
    </row>
    <row r="17" spans="1:14" ht="14.25" x14ac:dyDescent="0.15">
      <c r="A17" s="29"/>
      <c r="B17" s="29"/>
      <c r="D17" s="53" t="s">
        <v>7</v>
      </c>
      <c r="E17" s="54"/>
      <c r="F17" s="55"/>
      <c r="G17" s="54"/>
      <c r="H17" s="56">
        <f>-H165</f>
        <v>0</v>
      </c>
      <c r="I17" s="57"/>
      <c r="J17" s="57"/>
      <c r="K17" s="57"/>
      <c r="L17" s="57"/>
      <c r="M17" s="52"/>
      <c r="N17" s="29"/>
    </row>
    <row r="18" spans="1:14" ht="14.25" x14ac:dyDescent="0.15">
      <c r="A18" s="29"/>
      <c r="B18" s="29"/>
      <c r="C18" s="37"/>
      <c r="F18" s="37"/>
      <c r="H18" s="57"/>
      <c r="I18" s="57"/>
      <c r="J18" s="57"/>
      <c r="K18" s="57"/>
      <c r="L18" s="57"/>
      <c r="M18" s="52"/>
      <c r="N18" s="29"/>
    </row>
    <row r="19" spans="1:14" ht="15" thickBot="1" x14ac:dyDescent="0.2">
      <c r="A19" s="29"/>
      <c r="B19" s="29"/>
      <c r="D19" s="58" t="s">
        <v>8</v>
      </c>
      <c r="E19" s="59"/>
      <c r="F19" s="60"/>
      <c r="G19" s="59"/>
      <c r="H19" s="61">
        <f>H13+H15+H17</f>
        <v>0</v>
      </c>
      <c r="I19" s="57"/>
      <c r="J19" s="57"/>
      <c r="K19" s="57"/>
      <c r="L19" s="57"/>
      <c r="M19" s="52"/>
      <c r="N19" s="29"/>
    </row>
    <row r="20" spans="1:14" ht="13.5" thickTop="1" x14ac:dyDescent="0.15">
      <c r="A20" s="27"/>
      <c r="B20" s="27"/>
      <c r="H20" s="27"/>
      <c r="I20" s="27"/>
      <c r="J20" s="27"/>
      <c r="K20" s="27"/>
      <c r="L20" s="27"/>
      <c r="M20" s="27"/>
    </row>
    <row r="21" spans="1:14" x14ac:dyDescent="0.15">
      <c r="A21" s="27"/>
      <c r="B21" s="27"/>
      <c r="D21" s="54" t="s">
        <v>124</v>
      </c>
      <c r="E21" s="54"/>
      <c r="F21" s="54"/>
      <c r="G21" s="54"/>
      <c r="H21" s="62">
        <f>SUMIF(J42:J56,"x",H42:H56)+SUMIF(J61:J75,"x",H61:H75)+SUMIF(J80:J104,"x",H80:H104)+SUMIF(J111:J151,"x",H111:H151)</f>
        <v>0</v>
      </c>
      <c r="I21" s="27" t="s">
        <v>125</v>
      </c>
      <c r="J21" s="27"/>
      <c r="K21" s="27"/>
      <c r="L21" s="27"/>
      <c r="M21" s="27"/>
    </row>
    <row r="22" spans="1:14" x14ac:dyDescent="0.15">
      <c r="A22" s="27"/>
      <c r="B22" s="27"/>
      <c r="H22" s="27"/>
      <c r="I22" s="27"/>
      <c r="J22" s="27"/>
      <c r="K22" s="27"/>
      <c r="L22" s="27"/>
      <c r="M22" s="27"/>
    </row>
    <row r="23" spans="1:14" x14ac:dyDescent="0.15">
      <c r="A23" s="27"/>
      <c r="B23" s="27"/>
      <c r="F23" s="63"/>
      <c r="G23" s="63"/>
      <c r="H23" s="63"/>
      <c r="I23" s="63"/>
      <c r="J23" s="63"/>
      <c r="K23" s="63"/>
      <c r="L23" s="63"/>
      <c r="M23" s="64"/>
    </row>
    <row r="24" spans="1:14" ht="14.25" x14ac:dyDescent="0.15">
      <c r="A24" s="29"/>
      <c r="B24" s="27"/>
      <c r="C24" s="119"/>
      <c r="D24" s="119"/>
      <c r="E24" s="119"/>
      <c r="F24" s="22"/>
      <c r="G24" s="124"/>
      <c r="H24" s="124"/>
      <c r="I24" s="124"/>
      <c r="J24" s="124"/>
      <c r="K24" s="45"/>
      <c r="L24" s="45"/>
      <c r="M24" s="45"/>
      <c r="N24" s="30"/>
    </row>
    <row r="25" spans="1:14" ht="14.25" x14ac:dyDescent="0.15">
      <c r="A25" s="29"/>
      <c r="C25" s="120" t="s">
        <v>9</v>
      </c>
      <c r="D25" s="120"/>
      <c r="E25" s="120"/>
      <c r="F25" s="48"/>
      <c r="G25" s="65" t="s">
        <v>10</v>
      </c>
      <c r="H25" s="65"/>
      <c r="I25" s="65"/>
      <c r="J25" s="65"/>
      <c r="K25" s="49"/>
      <c r="L25" s="49"/>
      <c r="M25" s="49"/>
      <c r="N25" s="29"/>
    </row>
    <row r="26" spans="1:14" ht="14.25" x14ac:dyDescent="0.15">
      <c r="B26" s="2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27"/>
      <c r="N26" s="30"/>
    </row>
    <row r="27" spans="1:14" ht="14.25" x14ac:dyDescent="0.15">
      <c r="A27" s="29"/>
      <c r="B27" s="27"/>
      <c r="C27" s="119"/>
      <c r="D27" s="119"/>
      <c r="E27" s="119"/>
      <c r="F27" s="22"/>
      <c r="G27" s="119"/>
      <c r="H27" s="119"/>
      <c r="I27" s="119"/>
      <c r="J27" s="119"/>
      <c r="K27" s="37"/>
      <c r="L27" s="37"/>
      <c r="M27" s="37"/>
      <c r="N27" s="30"/>
    </row>
    <row r="28" spans="1:14" ht="14.25" x14ac:dyDescent="0.15">
      <c r="A28" s="29"/>
      <c r="C28" s="120" t="s">
        <v>11</v>
      </c>
      <c r="D28" s="120"/>
      <c r="E28" s="120"/>
      <c r="F28" s="48"/>
      <c r="G28" s="65" t="s">
        <v>12</v>
      </c>
      <c r="H28" s="65"/>
      <c r="I28" s="65"/>
      <c r="J28" s="65"/>
      <c r="K28" s="49"/>
      <c r="L28" s="49"/>
      <c r="M28" s="49"/>
      <c r="N28" s="50"/>
    </row>
    <row r="29" spans="1:14" x14ac:dyDescent="0.15">
      <c r="A29" s="27"/>
      <c r="B29" s="27"/>
      <c r="H29" s="27"/>
      <c r="I29" s="27"/>
      <c r="J29" s="27"/>
      <c r="K29" s="27"/>
      <c r="L29" s="27"/>
      <c r="M29" s="27"/>
    </row>
    <row r="30" spans="1:14" ht="14.25" x14ac:dyDescent="0.15">
      <c r="A30" s="29"/>
      <c r="B30" s="29"/>
      <c r="C30" s="119"/>
      <c r="D30" s="119"/>
      <c r="E30" s="119"/>
      <c r="F30" s="66"/>
      <c r="G30" s="66"/>
      <c r="H30" s="66"/>
      <c r="I30" s="66"/>
      <c r="J30" s="66"/>
      <c r="K30" s="66"/>
      <c r="L30" s="66"/>
      <c r="M30" s="66"/>
    </row>
    <row r="31" spans="1:14" ht="14.25" x14ac:dyDescent="0.15">
      <c r="A31" s="29"/>
      <c r="B31" s="29"/>
      <c r="C31" s="120" t="s">
        <v>13</v>
      </c>
      <c r="D31" s="120"/>
      <c r="E31" s="120"/>
      <c r="F31" s="67"/>
      <c r="G31" s="121"/>
      <c r="H31" s="121"/>
      <c r="I31" s="121"/>
      <c r="J31" s="121"/>
      <c r="K31" s="37"/>
      <c r="L31" s="37"/>
      <c r="M31" s="37"/>
      <c r="N31" s="29"/>
    </row>
    <row r="32" spans="1:14" ht="14.25" x14ac:dyDescent="0.15">
      <c r="A32" s="29"/>
      <c r="B32" s="29"/>
      <c r="D32" s="49"/>
      <c r="E32" s="67"/>
      <c r="F32" s="67"/>
      <c r="G32" s="68"/>
      <c r="H32" s="122"/>
      <c r="I32" s="122"/>
      <c r="J32" s="122"/>
      <c r="K32" s="49"/>
      <c r="L32" s="49"/>
      <c r="M32" s="49"/>
      <c r="N32" s="29"/>
    </row>
    <row r="34" spans="1:13" s="69" customFormat="1" ht="24.95" customHeight="1" x14ac:dyDescent="0.15">
      <c r="A34" s="123" t="s">
        <v>112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</row>
    <row r="35" spans="1:13" s="31" customFormat="1" x14ac:dyDescent="0.15">
      <c r="F35" s="36"/>
      <c r="G35" s="70"/>
      <c r="H35" s="71" t="s">
        <v>14</v>
      </c>
      <c r="I35" s="71"/>
      <c r="J35" s="71"/>
      <c r="K35" s="71"/>
      <c r="L35" s="71"/>
      <c r="M35" s="34"/>
    </row>
    <row r="36" spans="1:13" s="31" customFormat="1" x14ac:dyDescent="0.15">
      <c r="B36" s="117" t="s">
        <v>15</v>
      </c>
      <c r="C36" s="117"/>
      <c r="D36" s="73" t="s">
        <v>16</v>
      </c>
      <c r="E36" s="73"/>
      <c r="F36" s="73"/>
      <c r="G36" s="73"/>
      <c r="H36" s="71" t="s">
        <v>17</v>
      </c>
      <c r="I36" s="71"/>
      <c r="J36" s="71"/>
      <c r="K36" s="71"/>
      <c r="L36" s="71"/>
      <c r="M36" s="34"/>
    </row>
    <row r="37" spans="1:13" ht="14.1" customHeight="1" x14ac:dyDescent="0.15">
      <c r="A37" s="32"/>
      <c r="B37" s="125"/>
      <c r="C37" s="126"/>
      <c r="D37" s="12"/>
      <c r="E37" s="21"/>
      <c r="F37" s="21"/>
      <c r="G37" s="21"/>
      <c r="H37" s="19"/>
      <c r="I37" s="78"/>
      <c r="J37" s="78"/>
      <c r="K37" s="78"/>
      <c r="L37" s="78"/>
      <c r="M37" s="74"/>
    </row>
    <row r="38" spans="1:13" ht="18.95" customHeight="1" x14ac:dyDescent="0.1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</row>
    <row r="39" spans="1:13" s="76" customFormat="1" ht="24.95" customHeight="1" x14ac:dyDescent="0.2">
      <c r="A39" s="123" t="s">
        <v>116</v>
      </c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75" t="s">
        <v>122</v>
      </c>
    </row>
    <row r="40" spans="1:13" s="31" customFormat="1" x14ac:dyDescent="0.15">
      <c r="F40" s="36" t="s">
        <v>18</v>
      </c>
      <c r="G40" s="34" t="s">
        <v>19</v>
      </c>
      <c r="H40" s="71" t="s">
        <v>20</v>
      </c>
      <c r="I40" s="71"/>
      <c r="J40" s="34" t="s">
        <v>22</v>
      </c>
      <c r="K40" s="34" t="s">
        <v>23</v>
      </c>
      <c r="L40" s="71"/>
      <c r="M40" s="34" t="s">
        <v>120</v>
      </c>
    </row>
    <row r="41" spans="1:13" s="31" customFormat="1" x14ac:dyDescent="0.15">
      <c r="B41" s="34" t="s">
        <v>10</v>
      </c>
      <c r="C41" s="34" t="s">
        <v>24</v>
      </c>
      <c r="D41" s="34" t="s">
        <v>25</v>
      </c>
      <c r="E41" s="34" t="s">
        <v>26</v>
      </c>
      <c r="F41" s="36" t="s">
        <v>27</v>
      </c>
      <c r="G41" s="34" t="s">
        <v>28</v>
      </c>
      <c r="H41" s="71" t="s">
        <v>29</v>
      </c>
      <c r="I41" s="71"/>
      <c r="J41" s="34" t="s">
        <v>31</v>
      </c>
      <c r="K41" s="34" t="s">
        <v>31</v>
      </c>
      <c r="L41" s="71"/>
      <c r="M41" s="72" t="s">
        <v>121</v>
      </c>
    </row>
    <row r="42" spans="1:13" ht="14.1" customHeight="1" x14ac:dyDescent="0.15">
      <c r="A42" s="32">
        <v>1</v>
      </c>
      <c r="B42" s="7"/>
      <c r="C42" s="8"/>
      <c r="D42" s="8"/>
      <c r="E42" s="12"/>
      <c r="F42" s="24"/>
      <c r="G42" s="11"/>
      <c r="H42" s="77" t="str">
        <f>IF(F42&gt;0,IF(G42&gt;0, (F42*G42),IF(#REF!&gt;0,F42/#REF!,F42)),"")</f>
        <v/>
      </c>
      <c r="I42" s="78"/>
      <c r="J42" s="11"/>
      <c r="K42" s="11"/>
      <c r="L42" s="78"/>
      <c r="M42" s="109"/>
    </row>
    <row r="43" spans="1:13" ht="14.1" customHeight="1" x14ac:dyDescent="0.15">
      <c r="A43" s="32">
        <v>2</v>
      </c>
      <c r="B43" s="7"/>
      <c r="C43" s="8"/>
      <c r="D43" s="8"/>
      <c r="E43" s="12"/>
      <c r="F43" s="20"/>
      <c r="G43" s="11"/>
      <c r="H43" s="77"/>
      <c r="I43" s="78"/>
      <c r="J43" s="11"/>
      <c r="K43" s="11"/>
      <c r="L43" s="78"/>
      <c r="M43" s="109"/>
    </row>
    <row r="44" spans="1:13" ht="14.1" customHeight="1" x14ac:dyDescent="0.15">
      <c r="A44" s="32">
        <v>3</v>
      </c>
      <c r="B44" s="7"/>
      <c r="C44" s="8"/>
      <c r="D44" s="8"/>
      <c r="E44" s="12"/>
      <c r="F44" s="20"/>
      <c r="G44" s="11"/>
      <c r="H44" s="77" t="str">
        <f>IF(F44&gt;0,IF(G44&gt;0, (F44*G44),IF(#REF!&gt;0,F44/#REF!,F44)),"")</f>
        <v/>
      </c>
      <c r="I44" s="78"/>
      <c r="J44" s="11"/>
      <c r="K44" s="11"/>
      <c r="L44" s="78"/>
      <c r="M44" s="109"/>
    </row>
    <row r="45" spans="1:13" ht="14.1" customHeight="1" x14ac:dyDescent="0.15">
      <c r="A45" s="32">
        <v>4</v>
      </c>
      <c r="B45" s="7"/>
      <c r="C45" s="8"/>
      <c r="D45" s="8"/>
      <c r="E45" s="12"/>
      <c r="F45" s="20"/>
      <c r="G45" s="11"/>
      <c r="H45" s="77" t="str">
        <f>IF(F45&gt;0,IF(G45&gt;0, (F45*G45),IF(#REF!&gt;0,F45/#REF!,F45)),"")</f>
        <v/>
      </c>
      <c r="I45" s="78"/>
      <c r="J45" s="11"/>
      <c r="K45" s="11"/>
      <c r="L45" s="78"/>
      <c r="M45" s="109"/>
    </row>
    <row r="46" spans="1:13" ht="14.1" customHeight="1" x14ac:dyDescent="0.15">
      <c r="A46" s="32">
        <v>5</v>
      </c>
      <c r="B46" s="7"/>
      <c r="C46" s="8"/>
      <c r="D46" s="8"/>
      <c r="E46" s="12"/>
      <c r="F46" s="20"/>
      <c r="G46" s="11"/>
      <c r="H46" s="77" t="str">
        <f>IF(F46&gt;0,IF(G46&gt;0, (F46*G46),IF(#REF!&gt;0,F46/#REF!,F46)),"")</f>
        <v/>
      </c>
      <c r="I46" s="78"/>
      <c r="J46" s="11"/>
      <c r="K46" s="11"/>
      <c r="L46" s="78"/>
      <c r="M46" s="109"/>
    </row>
    <row r="47" spans="1:13" ht="14.1" customHeight="1" x14ac:dyDescent="0.15">
      <c r="A47" s="32">
        <v>6</v>
      </c>
      <c r="B47" s="7"/>
      <c r="C47" s="8"/>
      <c r="D47" s="8"/>
      <c r="E47" s="12"/>
      <c r="F47" s="20"/>
      <c r="G47" s="11"/>
      <c r="H47" s="77" t="str">
        <f>IF(F47&gt;0,IF(G47&gt;0, (F47*G47),IF(#REF!&gt;0,F47/#REF!,F47)),"")</f>
        <v/>
      </c>
      <c r="I47" s="78"/>
      <c r="J47" s="11"/>
      <c r="K47" s="11"/>
      <c r="L47" s="78"/>
      <c r="M47" s="109"/>
    </row>
    <row r="48" spans="1:13" ht="14.1" customHeight="1" x14ac:dyDescent="0.15">
      <c r="A48" s="32">
        <v>7</v>
      </c>
      <c r="B48" s="7"/>
      <c r="C48" s="8"/>
      <c r="D48" s="8"/>
      <c r="E48" s="12"/>
      <c r="F48" s="20"/>
      <c r="G48" s="11"/>
      <c r="H48" s="77" t="str">
        <f>IF(F48&gt;0,IF(G48&gt;0, (F48*G48),IF(#REF!&gt;0,F48/#REF!,F48)),"")</f>
        <v/>
      </c>
      <c r="I48" s="78"/>
      <c r="J48" s="11"/>
      <c r="K48" s="11"/>
      <c r="L48" s="78"/>
      <c r="M48" s="109"/>
    </row>
    <row r="49" spans="1:13" ht="14.1" customHeight="1" x14ac:dyDescent="0.15">
      <c r="A49" s="32">
        <v>8</v>
      </c>
      <c r="B49" s="7"/>
      <c r="C49" s="8"/>
      <c r="D49" s="8"/>
      <c r="E49" s="12"/>
      <c r="F49" s="20"/>
      <c r="G49" s="11"/>
      <c r="H49" s="77" t="str">
        <f>IF(F49&gt;0,IF(G49&gt;0, (F49*G49),IF(#REF!&gt;0,F49/#REF!,F49)),"")</f>
        <v/>
      </c>
      <c r="I49" s="78"/>
      <c r="J49" s="11"/>
      <c r="K49" s="11"/>
      <c r="L49" s="78"/>
      <c r="M49" s="109"/>
    </row>
    <row r="50" spans="1:13" ht="14.1" customHeight="1" x14ac:dyDescent="0.15">
      <c r="A50" s="32">
        <v>9</v>
      </c>
      <c r="B50" s="7"/>
      <c r="C50" s="8"/>
      <c r="D50" s="8"/>
      <c r="E50" s="12"/>
      <c r="F50" s="20"/>
      <c r="G50" s="11"/>
      <c r="H50" s="77" t="str">
        <f>IF(F50&gt;0,IF(G50&gt;0, (F50*G50),IF(#REF!&gt;0,F50/#REF!,F50)),"")</f>
        <v/>
      </c>
      <c r="I50" s="78"/>
      <c r="J50" s="11"/>
      <c r="K50" s="11"/>
      <c r="L50" s="78"/>
      <c r="M50" s="109"/>
    </row>
    <row r="51" spans="1:13" ht="14.1" customHeight="1" x14ac:dyDescent="0.15">
      <c r="A51" s="32">
        <v>10</v>
      </c>
      <c r="B51" s="7"/>
      <c r="C51" s="8"/>
      <c r="D51" s="8"/>
      <c r="E51" s="12"/>
      <c r="F51" s="10"/>
      <c r="G51" s="11"/>
      <c r="H51" s="77" t="str">
        <f>IF(F51&gt;0,IF(G51&gt;0, (F51*G51),IF(#REF!&gt;0,F51/#REF!,F51)),"")</f>
        <v/>
      </c>
      <c r="I51" s="78"/>
      <c r="J51" s="11"/>
      <c r="K51" s="11"/>
      <c r="L51" s="78"/>
      <c r="M51" s="109"/>
    </row>
    <row r="52" spans="1:13" ht="14.1" customHeight="1" x14ac:dyDescent="0.15">
      <c r="A52" s="32">
        <v>11</v>
      </c>
      <c r="B52" s="7"/>
      <c r="C52" s="8"/>
      <c r="D52" s="8"/>
      <c r="E52" s="12"/>
      <c r="F52" s="10"/>
      <c r="G52" s="11"/>
      <c r="H52" s="77" t="str">
        <f>IF(F52&gt;0,IF(G52&gt;0, (F52*G52),IF(#REF!&gt;0,F52/#REF!,F52)),"")</f>
        <v/>
      </c>
      <c r="I52" s="78"/>
      <c r="J52" s="11"/>
      <c r="K52" s="11"/>
      <c r="L52" s="78"/>
      <c r="M52" s="109"/>
    </row>
    <row r="53" spans="1:13" ht="14.1" customHeight="1" x14ac:dyDescent="0.15">
      <c r="A53" s="32">
        <v>12</v>
      </c>
      <c r="B53" s="7"/>
      <c r="C53" s="8"/>
      <c r="D53" s="8"/>
      <c r="E53" s="12"/>
      <c r="F53" s="10"/>
      <c r="G53" s="11"/>
      <c r="H53" s="77" t="str">
        <f>IF(F53&gt;0,IF(G53&gt;0, (F53*G53),IF(#REF!&gt;0,F53/#REF!,F53)),"")</f>
        <v/>
      </c>
      <c r="I53" s="78"/>
      <c r="J53" s="11"/>
      <c r="K53" s="11"/>
      <c r="L53" s="78"/>
      <c r="M53" s="109"/>
    </row>
    <row r="54" spans="1:13" ht="14.1" customHeight="1" x14ac:dyDescent="0.15">
      <c r="A54" s="32">
        <v>13</v>
      </c>
      <c r="B54" s="7"/>
      <c r="C54" s="8"/>
      <c r="D54" s="8"/>
      <c r="E54" s="12"/>
      <c r="F54" s="10"/>
      <c r="G54" s="11"/>
      <c r="H54" s="77" t="str">
        <f>IF(F54&gt;0,IF(G54&gt;0, (F54*G54),IF(#REF!&gt;0,F54/#REF!,F54)),"")</f>
        <v/>
      </c>
      <c r="I54" s="78"/>
      <c r="J54" s="11"/>
      <c r="K54" s="11"/>
      <c r="L54" s="78"/>
      <c r="M54" s="109"/>
    </row>
    <row r="55" spans="1:13" ht="14.1" customHeight="1" x14ac:dyDescent="0.15">
      <c r="A55" s="32">
        <v>14</v>
      </c>
      <c r="B55" s="7"/>
      <c r="C55" s="8"/>
      <c r="D55" s="8"/>
      <c r="E55" s="12"/>
      <c r="F55" s="10"/>
      <c r="G55" s="11"/>
      <c r="H55" s="77" t="str">
        <f>IF(F55&gt;0,IF(G55&gt;0, (F55*G55),IF(#REF!&gt;0,F55/#REF!,F55)),"")</f>
        <v/>
      </c>
      <c r="I55" s="78"/>
      <c r="J55" s="11"/>
      <c r="K55" s="11"/>
      <c r="L55" s="78"/>
      <c r="M55" s="109"/>
    </row>
    <row r="56" spans="1:13" ht="14.1" customHeight="1" x14ac:dyDescent="0.15">
      <c r="A56" s="32">
        <v>15</v>
      </c>
      <c r="B56" s="7"/>
      <c r="C56" s="8"/>
      <c r="D56" s="8"/>
      <c r="E56" s="12"/>
      <c r="F56" s="20"/>
      <c r="G56" s="11"/>
      <c r="H56" s="77" t="str">
        <f>IF(F56&gt;0,IF(G56&gt;0, (F56*G56),IF(#REF!&gt;0,F56/#REF!,F56)),"")</f>
        <v/>
      </c>
      <c r="I56" s="78"/>
      <c r="J56" s="11"/>
      <c r="K56" s="11"/>
      <c r="L56" s="78"/>
      <c r="M56" s="109"/>
    </row>
    <row r="57" spans="1:13" x14ac:dyDescent="0.15">
      <c r="A57" s="33"/>
      <c r="B57" s="33"/>
      <c r="C57" s="33"/>
      <c r="D57" s="33"/>
      <c r="E57" s="33"/>
      <c r="F57" s="33"/>
      <c r="G57" s="33"/>
      <c r="H57" s="33"/>
      <c r="I57" s="33"/>
      <c r="J57" s="30"/>
      <c r="K57" s="30"/>
      <c r="L57" s="33"/>
      <c r="M57" s="33"/>
    </row>
    <row r="58" spans="1:13" s="79" customFormat="1" ht="24.95" customHeight="1" x14ac:dyDescent="0.15">
      <c r="A58" s="123" t="s">
        <v>115</v>
      </c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75" t="s">
        <v>122</v>
      </c>
    </row>
    <row r="59" spans="1:13" s="36" customFormat="1" x14ac:dyDescent="0.15">
      <c r="A59" s="34"/>
      <c r="B59" s="34"/>
      <c r="C59" s="34"/>
      <c r="D59" s="34"/>
      <c r="E59" s="34"/>
      <c r="F59" s="36" t="s">
        <v>18</v>
      </c>
      <c r="G59" s="34" t="s">
        <v>19</v>
      </c>
      <c r="H59" s="71" t="s">
        <v>20</v>
      </c>
      <c r="I59" s="71"/>
      <c r="J59" s="34" t="s">
        <v>22</v>
      </c>
      <c r="K59" s="34" t="s">
        <v>23</v>
      </c>
      <c r="L59" s="71"/>
      <c r="M59" s="34" t="s">
        <v>21</v>
      </c>
    </row>
    <row r="60" spans="1:13" s="36" customFormat="1" x14ac:dyDescent="0.15">
      <c r="A60" s="34"/>
      <c r="B60" s="34" t="s">
        <v>10</v>
      </c>
      <c r="C60" s="34" t="s">
        <v>32</v>
      </c>
      <c r="D60" s="34" t="s">
        <v>33</v>
      </c>
      <c r="E60" s="34" t="s">
        <v>26</v>
      </c>
      <c r="F60" s="36" t="s">
        <v>27</v>
      </c>
      <c r="G60" s="34" t="s">
        <v>28</v>
      </c>
      <c r="H60" s="71" t="s">
        <v>29</v>
      </c>
      <c r="I60" s="71"/>
      <c r="J60" s="34" t="s">
        <v>31</v>
      </c>
      <c r="K60" s="34" t="s">
        <v>31</v>
      </c>
      <c r="L60" s="71"/>
      <c r="M60" s="72" t="s">
        <v>30</v>
      </c>
    </row>
    <row r="61" spans="1:13" ht="14.1" customHeight="1" x14ac:dyDescent="0.15">
      <c r="A61" s="32">
        <v>16</v>
      </c>
      <c r="B61" s="7"/>
      <c r="C61" s="8"/>
      <c r="D61" s="8"/>
      <c r="E61" s="12"/>
      <c r="F61" s="24"/>
      <c r="G61" s="11"/>
      <c r="H61" s="77" t="str">
        <f>IF(F61&gt;0,IF(G61&gt;0, (F61*G61),IF(#REF!&gt;0,F61/#REF!,F61)),"")</f>
        <v/>
      </c>
      <c r="I61" s="78"/>
      <c r="J61" s="11"/>
      <c r="K61" s="11"/>
      <c r="L61" s="78"/>
      <c r="M61" s="109"/>
    </row>
    <row r="62" spans="1:13" ht="14.1" customHeight="1" x14ac:dyDescent="0.15">
      <c r="A62" s="32">
        <v>17</v>
      </c>
      <c r="B62" s="7"/>
      <c r="C62" s="8"/>
      <c r="D62" s="8"/>
      <c r="E62" s="12"/>
      <c r="F62" s="20"/>
      <c r="G62" s="11"/>
      <c r="H62" s="77" t="str">
        <f>IF(F62&gt;0,IF(G62&gt;0, (F62*G62),IF(#REF!&gt;0,F62/#REF!,F62)),"")</f>
        <v/>
      </c>
      <c r="I62" s="78"/>
      <c r="J62" s="11"/>
      <c r="K62" s="11"/>
      <c r="L62" s="78"/>
      <c r="M62" s="109"/>
    </row>
    <row r="63" spans="1:13" ht="14.1" customHeight="1" x14ac:dyDescent="0.15">
      <c r="A63" s="32">
        <v>18</v>
      </c>
      <c r="B63" s="7"/>
      <c r="C63" s="8"/>
      <c r="D63" s="8"/>
      <c r="E63" s="12"/>
      <c r="F63" s="20"/>
      <c r="G63" s="11"/>
      <c r="H63" s="77" t="str">
        <f>IF(F63&gt;0,IF(G63&gt;0, (F63*G63),IF(#REF!&gt;0,F63/#REF!,F63)),"")</f>
        <v/>
      </c>
      <c r="I63" s="78"/>
      <c r="J63" s="11"/>
      <c r="K63" s="11"/>
      <c r="L63" s="78"/>
      <c r="M63" s="109"/>
    </row>
    <row r="64" spans="1:13" ht="14.1" customHeight="1" x14ac:dyDescent="0.15">
      <c r="A64" s="32">
        <v>19</v>
      </c>
      <c r="B64" s="7"/>
      <c r="C64" s="8"/>
      <c r="D64" s="8"/>
      <c r="E64" s="12"/>
      <c r="F64" s="20"/>
      <c r="G64" s="11"/>
      <c r="H64" s="77" t="str">
        <f>IF(F64&gt;0,IF(G64&gt;0, (F64*G64),IF(#REF!&gt;0,F64/#REF!,F64)),"")</f>
        <v/>
      </c>
      <c r="I64" s="78"/>
      <c r="J64" s="11"/>
      <c r="K64" s="11"/>
      <c r="L64" s="78"/>
      <c r="M64" s="109"/>
    </row>
    <row r="65" spans="1:13" ht="14.1" customHeight="1" x14ac:dyDescent="0.15">
      <c r="A65" s="32">
        <v>20</v>
      </c>
      <c r="B65" s="7"/>
      <c r="C65" s="8"/>
      <c r="D65" s="8"/>
      <c r="E65" s="12"/>
      <c r="F65" s="20"/>
      <c r="G65" s="11"/>
      <c r="H65" s="77" t="str">
        <f>IF(F65&gt;0,IF(G65&gt;0, (F65*G65),IF(#REF!&gt;0,F65/#REF!,F65)),"")</f>
        <v/>
      </c>
      <c r="I65" s="78"/>
      <c r="J65" s="11"/>
      <c r="K65" s="11"/>
      <c r="L65" s="78"/>
      <c r="M65" s="109"/>
    </row>
    <row r="66" spans="1:13" ht="14.1" customHeight="1" x14ac:dyDescent="0.15">
      <c r="A66" s="32">
        <v>21</v>
      </c>
      <c r="B66" s="7"/>
      <c r="C66" s="8"/>
      <c r="D66" s="8"/>
      <c r="E66" s="12"/>
      <c r="F66" s="20"/>
      <c r="G66" s="11"/>
      <c r="H66" s="77" t="str">
        <f>IF(F66&gt;0,IF(G66&gt;0, (F66*G66),IF(#REF!&gt;0,F66/#REF!,F66)),"")</f>
        <v/>
      </c>
      <c r="I66" s="78"/>
      <c r="J66" s="11"/>
      <c r="K66" s="11"/>
      <c r="L66" s="78"/>
      <c r="M66" s="109"/>
    </row>
    <row r="67" spans="1:13" ht="14.1" customHeight="1" x14ac:dyDescent="0.15">
      <c r="A67" s="32">
        <v>22</v>
      </c>
      <c r="B67" s="7"/>
      <c r="C67" s="8"/>
      <c r="D67" s="8"/>
      <c r="E67" s="12"/>
      <c r="F67" s="20"/>
      <c r="G67" s="11"/>
      <c r="H67" s="77" t="str">
        <f>IF(F67&gt;0,IF(G67&gt;0, (F67*G67),IF(#REF!&gt;0,F67/#REF!,F67)),"")</f>
        <v/>
      </c>
      <c r="I67" s="78"/>
      <c r="J67" s="11"/>
      <c r="K67" s="11"/>
      <c r="L67" s="78"/>
      <c r="M67" s="109"/>
    </row>
    <row r="68" spans="1:13" ht="14.1" customHeight="1" x14ac:dyDescent="0.15">
      <c r="A68" s="32">
        <v>23</v>
      </c>
      <c r="B68" s="7"/>
      <c r="C68" s="8"/>
      <c r="D68" s="8"/>
      <c r="E68" s="12"/>
      <c r="F68" s="20"/>
      <c r="G68" s="11"/>
      <c r="H68" s="77" t="str">
        <f>IF(F68&gt;0,IF(G68&gt;0, (F68*G68),IF(#REF!&gt;0,F68/#REF!,F68)),"")</f>
        <v/>
      </c>
      <c r="I68" s="78"/>
      <c r="J68" s="11"/>
      <c r="K68" s="11"/>
      <c r="L68" s="78"/>
      <c r="M68" s="109"/>
    </row>
    <row r="69" spans="1:13" ht="14.1" customHeight="1" x14ac:dyDescent="0.15">
      <c r="A69" s="32">
        <v>24</v>
      </c>
      <c r="B69" s="7"/>
      <c r="C69" s="8"/>
      <c r="D69" s="8"/>
      <c r="E69" s="12"/>
      <c r="F69" s="20"/>
      <c r="G69" s="11"/>
      <c r="H69" s="77" t="str">
        <f>IF(F69&gt;0,IF(G69&gt;0, (F69*G69),IF(#REF!&gt;0,F69/#REF!,F69)),"")</f>
        <v/>
      </c>
      <c r="I69" s="78"/>
      <c r="J69" s="11"/>
      <c r="K69" s="11"/>
      <c r="L69" s="78"/>
      <c r="M69" s="109"/>
    </row>
    <row r="70" spans="1:13" ht="14.1" customHeight="1" x14ac:dyDescent="0.15">
      <c r="A70" s="32">
        <v>25</v>
      </c>
      <c r="B70" s="7"/>
      <c r="C70" s="8"/>
      <c r="D70" s="8"/>
      <c r="E70" s="12"/>
      <c r="F70" s="20"/>
      <c r="G70" s="11"/>
      <c r="H70" s="77" t="str">
        <f>IF(F70&gt;0,IF(G70&gt;0, (F70*G70),IF(#REF!&gt;0,F70/#REF!,F70)),"")</f>
        <v/>
      </c>
      <c r="I70" s="78"/>
      <c r="J70" s="11"/>
      <c r="K70" s="11"/>
      <c r="L70" s="78"/>
      <c r="M70" s="109"/>
    </row>
    <row r="71" spans="1:13" ht="14.1" customHeight="1" x14ac:dyDescent="0.15">
      <c r="A71" s="32">
        <v>26</v>
      </c>
      <c r="B71" s="7"/>
      <c r="C71" s="8"/>
      <c r="D71" s="8"/>
      <c r="E71" s="12"/>
      <c r="F71" s="20"/>
      <c r="G71" s="11"/>
      <c r="H71" s="77" t="str">
        <f>IF(F71&gt;0,IF(G71&gt;0, (F71*G71),IF(#REF!&gt;0,F71/#REF!,F71)),"")</f>
        <v/>
      </c>
      <c r="I71" s="78"/>
      <c r="J71" s="11"/>
      <c r="K71" s="11"/>
      <c r="L71" s="78"/>
      <c r="M71" s="109"/>
    </row>
    <row r="72" spans="1:13" ht="14.1" customHeight="1" x14ac:dyDescent="0.15">
      <c r="A72" s="32">
        <v>27</v>
      </c>
      <c r="B72" s="7"/>
      <c r="C72" s="8"/>
      <c r="D72" s="8"/>
      <c r="E72" s="12"/>
      <c r="F72" s="20"/>
      <c r="G72" s="11"/>
      <c r="H72" s="77" t="str">
        <f>IF(F72&gt;0,IF(G72&gt;0, (F72*G72),IF(#REF!&gt;0,F72/#REF!,F72)),"")</f>
        <v/>
      </c>
      <c r="I72" s="78"/>
      <c r="J72" s="11"/>
      <c r="K72" s="11"/>
      <c r="L72" s="78"/>
      <c r="M72" s="109"/>
    </row>
    <row r="73" spans="1:13" ht="14.1" customHeight="1" x14ac:dyDescent="0.15">
      <c r="A73" s="32">
        <v>28</v>
      </c>
      <c r="B73" s="7"/>
      <c r="C73" s="8"/>
      <c r="D73" s="8"/>
      <c r="E73" s="12"/>
      <c r="F73" s="20"/>
      <c r="G73" s="11"/>
      <c r="H73" s="77" t="str">
        <f>IF(F73&gt;0,IF(G73&gt;0, (F73*G73),IF(#REF!&gt;0,F73/#REF!,F73)),"")</f>
        <v/>
      </c>
      <c r="I73" s="78"/>
      <c r="J73" s="11"/>
      <c r="K73" s="11"/>
      <c r="L73" s="78"/>
      <c r="M73" s="109"/>
    </row>
    <row r="74" spans="1:13" ht="14.1" customHeight="1" x14ac:dyDescent="0.15">
      <c r="A74" s="32">
        <v>29</v>
      </c>
      <c r="B74" s="7"/>
      <c r="C74" s="8"/>
      <c r="D74" s="8"/>
      <c r="E74" s="12"/>
      <c r="F74" s="20"/>
      <c r="G74" s="11"/>
      <c r="H74" s="77" t="str">
        <f>IF(F74&gt;0,IF(G74&gt;0, (F74*G74),IF(#REF!&gt;0,F74/#REF!,F74)),"")</f>
        <v/>
      </c>
      <c r="I74" s="78"/>
      <c r="J74" s="11"/>
      <c r="K74" s="11"/>
      <c r="L74" s="78"/>
      <c r="M74" s="109"/>
    </row>
    <row r="75" spans="1:13" ht="14.1" customHeight="1" x14ac:dyDescent="0.15">
      <c r="A75" s="32">
        <v>30</v>
      </c>
      <c r="B75" s="7"/>
      <c r="C75" s="8"/>
      <c r="D75" s="8"/>
      <c r="E75" s="12"/>
      <c r="F75" s="20"/>
      <c r="G75" s="11"/>
      <c r="H75" s="77" t="str">
        <f>IF(F75&gt;0,IF(G75&gt;0, (F75*G75),IF(#REF!&gt;0,F75/#REF!,F75)),"")</f>
        <v/>
      </c>
      <c r="I75" s="78"/>
      <c r="J75" s="11"/>
      <c r="K75" s="11"/>
      <c r="L75" s="78"/>
      <c r="M75" s="109"/>
    </row>
    <row r="76" spans="1:13" x14ac:dyDescent="0.15">
      <c r="A76" s="33"/>
      <c r="B76" s="33"/>
      <c r="C76" s="33"/>
      <c r="D76" s="33"/>
      <c r="E76" s="33"/>
      <c r="F76" s="33"/>
      <c r="G76" s="33"/>
      <c r="H76" s="33"/>
      <c r="I76" s="27"/>
      <c r="J76" s="30"/>
      <c r="K76" s="30"/>
      <c r="L76" s="33"/>
      <c r="M76" s="80"/>
    </row>
    <row r="77" spans="1:13" s="81" customFormat="1" ht="24.95" customHeight="1" x14ac:dyDescent="0.15">
      <c r="A77" s="123" t="s">
        <v>117</v>
      </c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75" t="s">
        <v>122</v>
      </c>
    </row>
    <row r="78" spans="1:13" s="1" customFormat="1" x14ac:dyDescent="0.15">
      <c r="A78" s="31"/>
      <c r="B78" s="31"/>
      <c r="C78" s="31"/>
      <c r="D78" s="31"/>
      <c r="E78" s="31"/>
      <c r="F78" s="34" t="s">
        <v>123</v>
      </c>
      <c r="G78" s="34" t="s">
        <v>96</v>
      </c>
      <c r="H78" s="71" t="s">
        <v>20</v>
      </c>
      <c r="I78" s="71"/>
      <c r="J78" s="34" t="s">
        <v>22</v>
      </c>
      <c r="K78" s="34" t="s">
        <v>23</v>
      </c>
      <c r="L78" s="71"/>
      <c r="M78" s="34" t="s">
        <v>21</v>
      </c>
    </row>
    <row r="79" spans="1:13" s="1" customFormat="1" x14ac:dyDescent="0.15">
      <c r="A79" s="31"/>
      <c r="B79" s="34" t="s">
        <v>10</v>
      </c>
      <c r="C79" s="34" t="s">
        <v>24</v>
      </c>
      <c r="D79" s="34" t="s">
        <v>25</v>
      </c>
      <c r="E79" s="34" t="s">
        <v>26</v>
      </c>
      <c r="F79" s="82">
        <v>0.72499999999999998</v>
      </c>
      <c r="G79" s="83">
        <v>0.45</v>
      </c>
      <c r="H79" s="71" t="s">
        <v>34</v>
      </c>
      <c r="I79" s="71"/>
      <c r="J79" s="34" t="s">
        <v>31</v>
      </c>
      <c r="K79" s="34" t="s">
        <v>31</v>
      </c>
      <c r="L79" s="71"/>
      <c r="M79" s="72" t="s">
        <v>30</v>
      </c>
    </row>
    <row r="80" spans="1:13" ht="14.1" customHeight="1" x14ac:dyDescent="0.15">
      <c r="A80" s="32">
        <v>31</v>
      </c>
      <c r="B80" s="7"/>
      <c r="C80" s="8"/>
      <c r="D80" s="8"/>
      <c r="E80" s="8"/>
      <c r="F80" s="25"/>
      <c r="G80" s="11"/>
      <c r="H80" s="77" t="str">
        <f>IF(F80&gt;0,F80*0.725,IF(G80&gt;0,G80*0.45," "))</f>
        <v xml:space="preserve"> </v>
      </c>
      <c r="I80" s="78"/>
      <c r="J80" s="11"/>
      <c r="K80" s="11"/>
      <c r="L80" s="78"/>
      <c r="M80" s="109"/>
    </row>
    <row r="81" spans="1:13" ht="14.1" customHeight="1" x14ac:dyDescent="0.15">
      <c r="A81" s="32">
        <v>32</v>
      </c>
      <c r="B81" s="7"/>
      <c r="C81" s="8"/>
      <c r="D81" s="8"/>
      <c r="E81" s="8"/>
      <c r="F81" s="9"/>
      <c r="G81" s="11"/>
      <c r="H81" s="77" t="str">
        <f>IF(F81&gt;0,F81*0.725,IF(G81&gt;0,G81*0.45," "))</f>
        <v xml:space="preserve"> </v>
      </c>
      <c r="I81" s="78"/>
      <c r="J81" s="11"/>
      <c r="K81" s="11"/>
      <c r="L81" s="78"/>
      <c r="M81" s="109"/>
    </row>
    <row r="82" spans="1:13" ht="14.1" customHeight="1" x14ac:dyDescent="0.15">
      <c r="A82" s="32">
        <v>33</v>
      </c>
      <c r="B82" s="7"/>
      <c r="C82" s="8"/>
      <c r="D82" s="8"/>
      <c r="E82" s="8"/>
      <c r="F82" s="9"/>
      <c r="G82" s="11"/>
      <c r="H82" s="77" t="str">
        <f t="shared" ref="H82:H104" si="0">IF(F82&gt;0,F82*0.725,IF(G82&gt;0,G82*0.45," "))</f>
        <v xml:space="preserve"> </v>
      </c>
      <c r="I82" s="78"/>
      <c r="J82" s="11"/>
      <c r="K82" s="11"/>
      <c r="L82" s="78"/>
      <c r="M82" s="109"/>
    </row>
    <row r="83" spans="1:13" ht="14.1" customHeight="1" x14ac:dyDescent="0.15">
      <c r="A83" s="32">
        <v>34</v>
      </c>
      <c r="B83" s="7"/>
      <c r="C83" s="8"/>
      <c r="D83" s="8"/>
      <c r="E83" s="8"/>
      <c r="F83" s="9"/>
      <c r="G83" s="11"/>
      <c r="H83" s="77" t="str">
        <f t="shared" si="0"/>
        <v xml:space="preserve"> </v>
      </c>
      <c r="I83" s="78"/>
      <c r="J83" s="11"/>
      <c r="K83" s="11"/>
      <c r="L83" s="78"/>
      <c r="M83" s="109"/>
    </row>
    <row r="84" spans="1:13" ht="14.1" customHeight="1" x14ac:dyDescent="0.15">
      <c r="A84" s="32">
        <v>35</v>
      </c>
      <c r="B84" s="7"/>
      <c r="C84" s="8"/>
      <c r="D84" s="8"/>
      <c r="E84" s="8"/>
      <c r="F84" s="9"/>
      <c r="G84" s="11"/>
      <c r="H84" s="77" t="str">
        <f t="shared" si="0"/>
        <v xml:space="preserve"> </v>
      </c>
      <c r="I84" s="78"/>
      <c r="J84" s="11"/>
      <c r="K84" s="11"/>
      <c r="L84" s="78"/>
      <c r="M84" s="109"/>
    </row>
    <row r="85" spans="1:13" ht="14.1" customHeight="1" x14ac:dyDescent="0.15">
      <c r="A85" s="32">
        <v>36</v>
      </c>
      <c r="B85" s="7"/>
      <c r="C85" s="8"/>
      <c r="D85" s="8"/>
      <c r="E85" s="8"/>
      <c r="F85" s="9"/>
      <c r="G85" s="11"/>
      <c r="H85" s="77" t="str">
        <f t="shared" si="0"/>
        <v xml:space="preserve"> </v>
      </c>
      <c r="I85" s="78"/>
      <c r="J85" s="11"/>
      <c r="K85" s="11"/>
      <c r="L85" s="78"/>
      <c r="M85" s="109"/>
    </row>
    <row r="86" spans="1:13" ht="14.1" customHeight="1" x14ac:dyDescent="0.15">
      <c r="A86" s="32">
        <v>37</v>
      </c>
      <c r="B86" s="7"/>
      <c r="C86" s="8"/>
      <c r="D86" s="8"/>
      <c r="E86" s="8"/>
      <c r="F86" s="9"/>
      <c r="G86" s="11"/>
      <c r="H86" s="77" t="str">
        <f t="shared" si="0"/>
        <v xml:space="preserve"> </v>
      </c>
      <c r="I86" s="78"/>
      <c r="J86" s="11"/>
      <c r="K86" s="11"/>
      <c r="L86" s="78"/>
      <c r="M86" s="109"/>
    </row>
    <row r="87" spans="1:13" ht="14.1" customHeight="1" x14ac:dyDescent="0.15">
      <c r="A87" s="32">
        <v>38</v>
      </c>
      <c r="B87" s="7"/>
      <c r="C87" s="8"/>
      <c r="D87" s="8"/>
      <c r="E87" s="8"/>
      <c r="F87" s="9"/>
      <c r="G87" s="11"/>
      <c r="H87" s="77" t="str">
        <f t="shared" si="0"/>
        <v xml:space="preserve"> </v>
      </c>
      <c r="I87" s="78"/>
      <c r="J87" s="11"/>
      <c r="K87" s="11"/>
      <c r="L87" s="78"/>
      <c r="M87" s="109"/>
    </row>
    <row r="88" spans="1:13" ht="14.1" customHeight="1" x14ac:dyDescent="0.15">
      <c r="A88" s="32">
        <v>39</v>
      </c>
      <c r="B88" s="7"/>
      <c r="C88" s="8"/>
      <c r="D88" s="8"/>
      <c r="E88" s="8"/>
      <c r="F88" s="9"/>
      <c r="G88" s="11"/>
      <c r="H88" s="77" t="str">
        <f t="shared" si="0"/>
        <v xml:space="preserve"> </v>
      </c>
      <c r="I88" s="78"/>
      <c r="J88" s="11"/>
      <c r="K88" s="11"/>
      <c r="L88" s="78"/>
      <c r="M88" s="109"/>
    </row>
    <row r="89" spans="1:13" ht="14.1" customHeight="1" x14ac:dyDescent="0.15">
      <c r="A89" s="32">
        <v>40</v>
      </c>
      <c r="B89" s="7"/>
      <c r="C89" s="8"/>
      <c r="D89" s="8"/>
      <c r="E89" s="8"/>
      <c r="F89" s="9"/>
      <c r="G89" s="11"/>
      <c r="H89" s="77" t="str">
        <f t="shared" si="0"/>
        <v xml:space="preserve"> </v>
      </c>
      <c r="I89" s="78"/>
      <c r="J89" s="11"/>
      <c r="K89" s="11"/>
      <c r="L89" s="78"/>
      <c r="M89" s="109"/>
    </row>
    <row r="90" spans="1:13" ht="14.1" customHeight="1" x14ac:dyDescent="0.15">
      <c r="A90" s="32">
        <v>41</v>
      </c>
      <c r="B90" s="7"/>
      <c r="C90" s="8"/>
      <c r="D90" s="8"/>
      <c r="E90" s="8"/>
      <c r="F90" s="9"/>
      <c r="G90" s="11"/>
      <c r="H90" s="77" t="str">
        <f t="shared" si="0"/>
        <v xml:space="preserve"> </v>
      </c>
      <c r="I90" s="78"/>
      <c r="J90" s="11"/>
      <c r="K90" s="11"/>
      <c r="L90" s="78"/>
      <c r="M90" s="109"/>
    </row>
    <row r="91" spans="1:13" ht="14.1" customHeight="1" x14ac:dyDescent="0.15">
      <c r="A91" s="32">
        <v>42</v>
      </c>
      <c r="B91" s="7"/>
      <c r="C91" s="8"/>
      <c r="D91" s="8"/>
      <c r="E91" s="8"/>
      <c r="F91" s="9"/>
      <c r="G91" s="11"/>
      <c r="H91" s="77" t="str">
        <f t="shared" si="0"/>
        <v xml:space="preserve"> </v>
      </c>
      <c r="I91" s="78"/>
      <c r="J91" s="11"/>
      <c r="K91" s="11"/>
      <c r="L91" s="78"/>
      <c r="M91" s="109"/>
    </row>
    <row r="92" spans="1:13" ht="14.1" customHeight="1" x14ac:dyDescent="0.15">
      <c r="A92" s="32">
        <v>43</v>
      </c>
      <c r="B92" s="7"/>
      <c r="C92" s="8"/>
      <c r="D92" s="8"/>
      <c r="E92" s="8"/>
      <c r="F92" s="9"/>
      <c r="G92" s="11"/>
      <c r="H92" s="77" t="str">
        <f t="shared" si="0"/>
        <v xml:space="preserve"> </v>
      </c>
      <c r="I92" s="78"/>
      <c r="J92" s="11"/>
      <c r="K92" s="11"/>
      <c r="L92" s="78"/>
      <c r="M92" s="109"/>
    </row>
    <row r="93" spans="1:13" ht="14.1" customHeight="1" x14ac:dyDescent="0.15">
      <c r="A93" s="32">
        <v>44</v>
      </c>
      <c r="B93" s="7"/>
      <c r="C93" s="8"/>
      <c r="D93" s="8"/>
      <c r="E93" s="8"/>
      <c r="F93" s="9"/>
      <c r="G93" s="11"/>
      <c r="H93" s="77" t="str">
        <f t="shared" si="0"/>
        <v xml:space="preserve"> </v>
      </c>
      <c r="I93" s="78"/>
      <c r="J93" s="11"/>
      <c r="K93" s="11"/>
      <c r="L93" s="78"/>
      <c r="M93" s="109"/>
    </row>
    <row r="94" spans="1:13" ht="14.1" customHeight="1" x14ac:dyDescent="0.15">
      <c r="A94" s="32">
        <v>45</v>
      </c>
      <c r="B94" s="7"/>
      <c r="C94" s="8"/>
      <c r="D94" s="8"/>
      <c r="E94" s="8"/>
      <c r="F94" s="9"/>
      <c r="G94" s="11"/>
      <c r="H94" s="77" t="str">
        <f t="shared" si="0"/>
        <v xml:space="preserve"> </v>
      </c>
      <c r="I94" s="78"/>
      <c r="J94" s="11"/>
      <c r="K94" s="11"/>
      <c r="L94" s="78"/>
      <c r="M94" s="109"/>
    </row>
    <row r="95" spans="1:13" ht="14.1" customHeight="1" x14ac:dyDescent="0.15">
      <c r="A95" s="32">
        <v>46</v>
      </c>
      <c r="B95" s="7"/>
      <c r="C95" s="8"/>
      <c r="D95" s="8"/>
      <c r="E95" s="8"/>
      <c r="F95" s="9"/>
      <c r="G95" s="11"/>
      <c r="H95" s="77" t="str">
        <f t="shared" si="0"/>
        <v xml:space="preserve"> </v>
      </c>
      <c r="I95" s="78"/>
      <c r="J95" s="11"/>
      <c r="K95" s="11"/>
      <c r="L95" s="78"/>
      <c r="M95" s="109"/>
    </row>
    <row r="96" spans="1:13" ht="14.1" customHeight="1" x14ac:dyDescent="0.15">
      <c r="A96" s="32">
        <v>47</v>
      </c>
      <c r="B96" s="7"/>
      <c r="C96" s="8"/>
      <c r="D96" s="8"/>
      <c r="E96" s="8"/>
      <c r="F96" s="9"/>
      <c r="G96" s="11"/>
      <c r="H96" s="77" t="str">
        <f t="shared" si="0"/>
        <v xml:space="preserve"> </v>
      </c>
      <c r="I96" s="78"/>
      <c r="J96" s="11"/>
      <c r="K96" s="11"/>
      <c r="L96" s="78"/>
      <c r="M96" s="109"/>
    </row>
    <row r="97" spans="1:14" ht="14.1" customHeight="1" x14ac:dyDescent="0.15">
      <c r="A97" s="32">
        <v>48</v>
      </c>
      <c r="B97" s="7"/>
      <c r="C97" s="8"/>
      <c r="D97" s="8"/>
      <c r="E97" s="8"/>
      <c r="F97" s="9"/>
      <c r="G97" s="11"/>
      <c r="H97" s="77" t="str">
        <f t="shared" si="0"/>
        <v xml:space="preserve"> </v>
      </c>
      <c r="I97" s="78"/>
      <c r="J97" s="11"/>
      <c r="K97" s="11"/>
      <c r="L97" s="78"/>
      <c r="M97" s="109"/>
    </row>
    <row r="98" spans="1:14" ht="14.1" customHeight="1" x14ac:dyDescent="0.15">
      <c r="A98" s="32">
        <v>49</v>
      </c>
      <c r="B98" s="7"/>
      <c r="C98" s="8"/>
      <c r="D98" s="8"/>
      <c r="E98" s="8"/>
      <c r="F98" s="9"/>
      <c r="G98" s="11"/>
      <c r="H98" s="77" t="str">
        <f t="shared" si="0"/>
        <v xml:space="preserve"> </v>
      </c>
      <c r="I98" s="78"/>
      <c r="J98" s="11"/>
      <c r="K98" s="11"/>
      <c r="L98" s="78"/>
      <c r="M98" s="109"/>
    </row>
    <row r="99" spans="1:14" ht="14.1" customHeight="1" x14ac:dyDescent="0.15">
      <c r="A99" s="32">
        <v>50</v>
      </c>
      <c r="B99" s="7"/>
      <c r="C99" s="8"/>
      <c r="D99" s="8"/>
      <c r="E99" s="8"/>
      <c r="F99" s="9"/>
      <c r="G99" s="11"/>
      <c r="H99" s="77" t="str">
        <f t="shared" si="0"/>
        <v xml:space="preserve"> </v>
      </c>
      <c r="I99" s="78"/>
      <c r="J99" s="11"/>
      <c r="K99" s="11"/>
      <c r="L99" s="78"/>
      <c r="M99" s="109"/>
    </row>
    <row r="100" spans="1:14" ht="14.1" customHeight="1" x14ac:dyDescent="0.15">
      <c r="A100" s="32">
        <v>51</v>
      </c>
      <c r="B100" s="7"/>
      <c r="C100" s="8"/>
      <c r="D100" s="8"/>
      <c r="E100" s="8"/>
      <c r="F100" s="9"/>
      <c r="G100" s="11"/>
      <c r="H100" s="77" t="str">
        <f t="shared" si="0"/>
        <v xml:space="preserve"> </v>
      </c>
      <c r="I100" s="78"/>
      <c r="J100" s="11"/>
      <c r="K100" s="11"/>
      <c r="L100" s="78"/>
      <c r="M100" s="109"/>
    </row>
    <row r="101" spans="1:14" ht="14.1" customHeight="1" x14ac:dyDescent="0.15">
      <c r="A101" s="32">
        <v>52</v>
      </c>
      <c r="B101" s="7"/>
      <c r="C101" s="8"/>
      <c r="D101" s="8"/>
      <c r="E101" s="8"/>
      <c r="F101" s="9"/>
      <c r="G101" s="11"/>
      <c r="H101" s="77" t="str">
        <f t="shared" si="0"/>
        <v xml:space="preserve"> </v>
      </c>
      <c r="I101" s="78"/>
      <c r="J101" s="11"/>
      <c r="K101" s="11"/>
      <c r="L101" s="78"/>
      <c r="M101" s="109"/>
    </row>
    <row r="102" spans="1:14" ht="14.1" customHeight="1" x14ac:dyDescent="0.15">
      <c r="A102" s="32">
        <v>53</v>
      </c>
      <c r="B102" s="7"/>
      <c r="C102" s="8"/>
      <c r="D102" s="8"/>
      <c r="E102" s="8"/>
      <c r="F102" s="9"/>
      <c r="G102" s="11"/>
      <c r="H102" s="77" t="str">
        <f t="shared" si="0"/>
        <v xml:space="preserve"> </v>
      </c>
      <c r="I102" s="78"/>
      <c r="J102" s="11"/>
      <c r="K102" s="11"/>
      <c r="L102" s="78"/>
      <c r="M102" s="109"/>
    </row>
    <row r="103" spans="1:14" ht="14.1" customHeight="1" x14ac:dyDescent="0.15">
      <c r="A103" s="32">
        <v>54</v>
      </c>
      <c r="B103" s="7"/>
      <c r="C103" s="8"/>
      <c r="D103" s="8"/>
      <c r="E103" s="8"/>
      <c r="F103" s="9"/>
      <c r="G103" s="11"/>
      <c r="H103" s="77" t="str">
        <f t="shared" si="0"/>
        <v xml:space="preserve"> </v>
      </c>
      <c r="I103" s="78"/>
      <c r="J103" s="11"/>
      <c r="K103" s="11"/>
      <c r="L103" s="78"/>
      <c r="M103" s="109"/>
    </row>
    <row r="104" spans="1:14" ht="14.1" customHeight="1" x14ac:dyDescent="0.15">
      <c r="A104" s="32">
        <v>55</v>
      </c>
      <c r="B104" s="7"/>
      <c r="C104" s="8"/>
      <c r="D104" s="8"/>
      <c r="E104" s="8"/>
      <c r="F104" s="9"/>
      <c r="G104" s="11"/>
      <c r="H104" s="77" t="str">
        <f t="shared" si="0"/>
        <v xml:space="preserve"> </v>
      </c>
      <c r="I104" s="78"/>
      <c r="J104" s="11"/>
      <c r="K104" s="11"/>
      <c r="L104" s="78"/>
      <c r="M104" s="109"/>
    </row>
    <row r="105" spans="1:14" x14ac:dyDescent="0.15">
      <c r="J105" s="30"/>
      <c r="K105" s="30"/>
    </row>
    <row r="106" spans="1:14" x14ac:dyDescent="0.15">
      <c r="C106" s="107">
        <v>1</v>
      </c>
      <c r="E106" s="85" t="s">
        <v>35</v>
      </c>
      <c r="F106" s="86">
        <f>SUM(F80:F104)</f>
        <v>0</v>
      </c>
      <c r="G106" s="86">
        <f>SUM(G80:G104)</f>
        <v>0</v>
      </c>
      <c r="H106" s="33"/>
      <c r="I106" s="33"/>
      <c r="J106" s="87"/>
      <c r="K106" s="30"/>
      <c r="L106" s="33"/>
      <c r="M106" s="88"/>
      <c r="N106" s="30"/>
    </row>
    <row r="107" spans="1:14" x14ac:dyDescent="0.15">
      <c r="A107" s="33"/>
      <c r="B107" s="33"/>
      <c r="C107" s="33"/>
      <c r="D107" s="33"/>
      <c r="E107" s="33"/>
      <c r="F107" s="33"/>
      <c r="G107" s="33"/>
      <c r="H107" s="33"/>
      <c r="I107" s="33"/>
      <c r="J107" s="30"/>
      <c r="K107" s="30"/>
      <c r="L107" s="33"/>
      <c r="M107" s="33"/>
    </row>
    <row r="108" spans="1:14" s="89" customFormat="1" ht="24.95" customHeight="1" x14ac:dyDescent="0.15">
      <c r="A108" s="123" t="s">
        <v>118</v>
      </c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75" t="s">
        <v>122</v>
      </c>
    </row>
    <row r="109" spans="1:14" s="36" customFormat="1" x14ac:dyDescent="0.15">
      <c r="A109" s="34"/>
      <c r="B109" s="34"/>
      <c r="C109" s="34"/>
      <c r="D109" s="34"/>
      <c r="E109" s="34"/>
      <c r="F109" s="36" t="s">
        <v>18</v>
      </c>
      <c r="G109" s="34" t="s">
        <v>19</v>
      </c>
      <c r="H109" s="71" t="s">
        <v>20</v>
      </c>
      <c r="I109" s="71"/>
      <c r="J109" s="34" t="s">
        <v>22</v>
      </c>
      <c r="K109" s="34" t="s">
        <v>23</v>
      </c>
      <c r="L109" s="71"/>
      <c r="M109" s="34" t="s">
        <v>21</v>
      </c>
    </row>
    <row r="110" spans="1:14" s="36" customFormat="1" x14ac:dyDescent="0.15">
      <c r="A110" s="34"/>
      <c r="B110" s="34" t="s">
        <v>10</v>
      </c>
      <c r="C110" s="117" t="s">
        <v>38</v>
      </c>
      <c r="D110" s="117"/>
      <c r="E110" s="117"/>
      <c r="F110" s="36" t="s">
        <v>27</v>
      </c>
      <c r="G110" s="34" t="s">
        <v>28</v>
      </c>
      <c r="H110" s="71" t="s">
        <v>29</v>
      </c>
      <c r="I110" s="71"/>
      <c r="J110" s="34" t="s">
        <v>31</v>
      </c>
      <c r="K110" s="34" t="s">
        <v>31</v>
      </c>
      <c r="L110" s="71"/>
      <c r="M110" s="72" t="s">
        <v>30</v>
      </c>
    </row>
    <row r="111" spans="1:14" ht="14.1" customHeight="1" x14ac:dyDescent="0.15">
      <c r="A111" s="32">
        <v>56</v>
      </c>
      <c r="B111" s="7"/>
      <c r="C111" s="113"/>
      <c r="D111" s="114"/>
      <c r="E111" s="115"/>
      <c r="F111" s="24"/>
      <c r="G111" s="8"/>
      <c r="H111" s="77" t="str">
        <f>IF(F111&gt;0,IF(G111&gt;0, (F111*G111),IF(#REF!&gt;0,F111/#REF!,F111)),"")</f>
        <v/>
      </c>
      <c r="I111" s="78"/>
      <c r="J111" s="11"/>
      <c r="K111" s="11"/>
      <c r="L111" s="78"/>
      <c r="M111" s="109"/>
    </row>
    <row r="112" spans="1:14" ht="14.1" customHeight="1" x14ac:dyDescent="0.15">
      <c r="A112" s="32">
        <v>57</v>
      </c>
      <c r="B112" s="7"/>
      <c r="C112" s="113"/>
      <c r="D112" s="114"/>
      <c r="E112" s="115"/>
      <c r="F112" s="20"/>
      <c r="G112" s="8"/>
      <c r="H112" s="77" t="str">
        <f>IF(F112&gt;0,IF(G112&gt;0, (F112*G112),IF(#REF!&gt;0,F112/#REF!,F112)),"")</f>
        <v/>
      </c>
      <c r="I112" s="78"/>
      <c r="J112" s="11"/>
      <c r="K112" s="11"/>
      <c r="L112" s="78"/>
      <c r="M112" s="109"/>
    </row>
    <row r="113" spans="1:13" ht="14.1" customHeight="1" x14ac:dyDescent="0.15">
      <c r="A113" s="32">
        <v>58</v>
      </c>
      <c r="B113" s="7"/>
      <c r="C113" s="113"/>
      <c r="D113" s="114"/>
      <c r="E113" s="115"/>
      <c r="F113" s="20"/>
      <c r="G113" s="8"/>
      <c r="H113" s="77" t="str">
        <f>IF(F113&gt;0,IF(G113&gt;0, (F113*G113),IF(#REF!&gt;0,F113/#REF!,F113)),"")</f>
        <v/>
      </c>
      <c r="I113" s="78"/>
      <c r="J113" s="11"/>
      <c r="K113" s="11"/>
      <c r="L113" s="78"/>
      <c r="M113" s="109"/>
    </row>
    <row r="114" spans="1:13" ht="14.1" customHeight="1" x14ac:dyDescent="0.15">
      <c r="A114" s="32">
        <v>59</v>
      </c>
      <c r="B114" s="7"/>
      <c r="C114" s="113"/>
      <c r="D114" s="114"/>
      <c r="E114" s="115"/>
      <c r="F114" s="20"/>
      <c r="G114" s="8"/>
      <c r="H114" s="77" t="str">
        <f>IF(F114&gt;0,IF(G114&gt;0, (F114*G114),IF(#REF!&gt;0,F114/#REF!,F114)),"")</f>
        <v/>
      </c>
      <c r="I114" s="78"/>
      <c r="J114" s="11"/>
      <c r="K114" s="11"/>
      <c r="L114" s="78"/>
      <c r="M114" s="109"/>
    </row>
    <row r="115" spans="1:13" ht="14.1" customHeight="1" x14ac:dyDescent="0.15">
      <c r="A115" s="32">
        <v>60</v>
      </c>
      <c r="B115" s="7"/>
      <c r="C115" s="113"/>
      <c r="D115" s="114"/>
      <c r="E115" s="115"/>
      <c r="F115" s="20"/>
      <c r="G115" s="8"/>
      <c r="H115" s="77" t="str">
        <f>IF(F115&gt;0,IF(G115&gt;0, (F115*G115),IF(#REF!&gt;0,F115/#REF!,F115)),"")</f>
        <v/>
      </c>
      <c r="I115" s="78"/>
      <c r="J115" s="11"/>
      <c r="K115" s="11"/>
      <c r="L115" s="78"/>
      <c r="M115" s="109"/>
    </row>
    <row r="116" spans="1:13" ht="14.1" customHeight="1" x14ac:dyDescent="0.15">
      <c r="A116" s="32">
        <v>61</v>
      </c>
      <c r="B116" s="7"/>
      <c r="C116" s="113"/>
      <c r="D116" s="114"/>
      <c r="E116" s="115"/>
      <c r="F116" s="20"/>
      <c r="G116" s="8"/>
      <c r="H116" s="77" t="str">
        <f>IF(F116&gt;0,IF(G116&gt;0, (F116*G116),IF(#REF!&gt;0,F116/#REF!,F116)),"")</f>
        <v/>
      </c>
      <c r="I116" s="78"/>
      <c r="J116" s="11"/>
      <c r="K116" s="11"/>
      <c r="L116" s="78"/>
      <c r="M116" s="109"/>
    </row>
    <row r="117" spans="1:13" ht="14.1" customHeight="1" x14ac:dyDescent="0.15">
      <c r="A117" s="32">
        <v>62</v>
      </c>
      <c r="B117" s="7"/>
      <c r="C117" s="113"/>
      <c r="D117" s="114"/>
      <c r="E117" s="115"/>
      <c r="F117" s="20"/>
      <c r="G117" s="8"/>
      <c r="H117" s="77" t="str">
        <f>IF(F117&gt;0,IF(G117&gt;0, (F117*G117),IF(#REF!&gt;0,F117/#REF!,F117)),"")</f>
        <v/>
      </c>
      <c r="I117" s="78"/>
      <c r="J117" s="11"/>
      <c r="K117" s="11"/>
      <c r="L117" s="78"/>
      <c r="M117" s="109"/>
    </row>
    <row r="118" spans="1:13" ht="14.1" customHeight="1" x14ac:dyDescent="0.15">
      <c r="A118" s="32">
        <v>63</v>
      </c>
      <c r="B118" s="7"/>
      <c r="C118" s="113"/>
      <c r="D118" s="114"/>
      <c r="E118" s="115"/>
      <c r="F118" s="20"/>
      <c r="G118" s="8"/>
      <c r="H118" s="77" t="str">
        <f>IF(F118&gt;0,IF(G118&gt;0, (F118*G118),IF(#REF!&gt;0,F118/#REF!,F118)),"")</f>
        <v/>
      </c>
      <c r="I118" s="78"/>
      <c r="J118" s="11"/>
      <c r="K118" s="11"/>
      <c r="L118" s="78"/>
      <c r="M118" s="109"/>
    </row>
    <row r="119" spans="1:13" ht="14.1" customHeight="1" x14ac:dyDescent="0.15">
      <c r="A119" s="32">
        <v>64</v>
      </c>
      <c r="B119" s="7"/>
      <c r="C119" s="113"/>
      <c r="D119" s="114"/>
      <c r="E119" s="115"/>
      <c r="F119" s="20"/>
      <c r="G119" s="8"/>
      <c r="H119" s="77" t="str">
        <f>IF(F119&gt;0,IF(G119&gt;0, (F119*G119),IF(#REF!&gt;0,F119/#REF!,F119)),"")</f>
        <v/>
      </c>
      <c r="I119" s="78"/>
      <c r="J119" s="11"/>
      <c r="K119" s="11"/>
      <c r="L119" s="78"/>
      <c r="M119" s="109"/>
    </row>
    <row r="120" spans="1:13" ht="14.1" customHeight="1" x14ac:dyDescent="0.15">
      <c r="A120" s="32">
        <v>66</v>
      </c>
      <c r="B120" s="7"/>
      <c r="C120" s="113"/>
      <c r="D120" s="114"/>
      <c r="E120" s="115"/>
      <c r="F120" s="20"/>
      <c r="G120" s="8"/>
      <c r="H120" s="77" t="str">
        <f>IF(F120&gt;0,IF(G120&gt;0, (F120*G120),IF(#REF!&gt;0,F120/#REF!,F120)),"")</f>
        <v/>
      </c>
      <c r="I120" s="78"/>
      <c r="J120" s="11"/>
      <c r="K120" s="11"/>
      <c r="L120" s="78"/>
      <c r="M120" s="109"/>
    </row>
    <row r="121" spans="1:13" ht="14.1" customHeight="1" x14ac:dyDescent="0.15">
      <c r="A121" s="32">
        <v>65</v>
      </c>
      <c r="B121" s="7"/>
      <c r="C121" s="113"/>
      <c r="D121" s="114"/>
      <c r="E121" s="115"/>
      <c r="F121" s="20"/>
      <c r="G121" s="8"/>
      <c r="H121" s="77" t="str">
        <f>IF(F121&gt;0,IF(G121&gt;0, (F121*G121),IF(#REF!&gt;0,F121/#REF!,F121)),"")</f>
        <v/>
      </c>
      <c r="I121" s="78"/>
      <c r="J121" s="11"/>
      <c r="K121" s="11"/>
      <c r="L121" s="78"/>
      <c r="M121" s="109"/>
    </row>
    <row r="122" spans="1:13" ht="14.1" customHeight="1" x14ac:dyDescent="0.15">
      <c r="A122" s="32">
        <v>66</v>
      </c>
      <c r="B122" s="7"/>
      <c r="C122" s="113"/>
      <c r="D122" s="114"/>
      <c r="E122" s="115"/>
      <c r="F122" s="20"/>
      <c r="G122" s="8"/>
      <c r="H122" s="77" t="str">
        <f>IF(F122&gt;0,IF(G122&gt;0, (F122*G122),IF(#REF!&gt;0,F122/#REF!,F122)),"")</f>
        <v/>
      </c>
      <c r="I122" s="78"/>
      <c r="J122" s="11"/>
      <c r="K122" s="11"/>
      <c r="L122" s="78"/>
      <c r="M122" s="109"/>
    </row>
    <row r="123" spans="1:13" ht="14.1" customHeight="1" x14ac:dyDescent="0.15">
      <c r="A123" s="32">
        <v>67</v>
      </c>
      <c r="B123" s="7"/>
      <c r="C123" s="113"/>
      <c r="D123" s="114"/>
      <c r="E123" s="115"/>
      <c r="F123" s="20"/>
      <c r="G123" s="8"/>
      <c r="H123" s="77" t="str">
        <f>IF(F123&gt;0,IF(G123&gt;0, (F123*G123),IF(#REF!&gt;0,F123/#REF!,F123)),"")</f>
        <v/>
      </c>
      <c r="I123" s="78"/>
      <c r="J123" s="11"/>
      <c r="K123" s="11"/>
      <c r="L123" s="78"/>
      <c r="M123" s="109"/>
    </row>
    <row r="124" spans="1:13" ht="14.1" customHeight="1" x14ac:dyDescent="0.15">
      <c r="A124" s="32">
        <v>68</v>
      </c>
      <c r="B124" s="7"/>
      <c r="C124" s="113"/>
      <c r="D124" s="114"/>
      <c r="E124" s="115"/>
      <c r="F124" s="20"/>
      <c r="G124" s="8"/>
      <c r="H124" s="77" t="str">
        <f>IF(F124&gt;0,IF(G124&gt;0, (F124*G124),IF(#REF!&gt;0,F124/#REF!,F124)),"")</f>
        <v/>
      </c>
      <c r="I124" s="78"/>
      <c r="J124" s="11"/>
      <c r="K124" s="11"/>
      <c r="L124" s="78"/>
      <c r="M124" s="109"/>
    </row>
    <row r="125" spans="1:13" ht="14.1" customHeight="1" x14ac:dyDescent="0.15">
      <c r="A125" s="32">
        <v>69</v>
      </c>
      <c r="B125" s="7"/>
      <c r="C125" s="113"/>
      <c r="D125" s="114"/>
      <c r="E125" s="115"/>
      <c r="F125" s="20"/>
      <c r="G125" s="8"/>
      <c r="H125" s="77" t="str">
        <f>IF(F125&gt;0,IF(G125&gt;0, (F125*G125),IF(#REF!&gt;0,F125/#REF!,F125)),"")</f>
        <v/>
      </c>
      <c r="I125" s="78"/>
      <c r="J125" s="11"/>
      <c r="K125" s="11"/>
      <c r="L125" s="78"/>
      <c r="M125" s="109"/>
    </row>
    <row r="126" spans="1:13" ht="14.1" customHeight="1" x14ac:dyDescent="0.15">
      <c r="A126" s="32">
        <v>70</v>
      </c>
      <c r="B126" s="7"/>
      <c r="C126" s="113"/>
      <c r="D126" s="114"/>
      <c r="E126" s="115"/>
      <c r="F126" s="20"/>
      <c r="G126" s="8"/>
      <c r="H126" s="77" t="str">
        <f>IF(F126&gt;0,IF(G126&gt;0, (F126*G126),IF(#REF!&gt;0,F126/#REF!,F126)),"")</f>
        <v/>
      </c>
      <c r="I126" s="78"/>
      <c r="J126" s="11"/>
      <c r="K126" s="11"/>
      <c r="L126" s="78"/>
      <c r="M126" s="109"/>
    </row>
    <row r="127" spans="1:13" ht="14.1" customHeight="1" x14ac:dyDescent="0.15">
      <c r="A127" s="32">
        <v>71</v>
      </c>
      <c r="B127" s="7"/>
      <c r="C127" s="113"/>
      <c r="D127" s="114"/>
      <c r="E127" s="115"/>
      <c r="F127" s="20"/>
      <c r="G127" s="8"/>
      <c r="H127" s="77" t="str">
        <f>IF(F127&gt;0,IF(G127&gt;0, (F127*G127),IF(#REF!&gt;0,F127/#REF!,F127)),"")</f>
        <v/>
      </c>
      <c r="I127" s="78"/>
      <c r="J127" s="11"/>
      <c r="K127" s="11"/>
      <c r="L127" s="78"/>
      <c r="M127" s="109"/>
    </row>
    <row r="128" spans="1:13" ht="14.1" customHeight="1" x14ac:dyDescent="0.15">
      <c r="A128" s="32">
        <v>72</v>
      </c>
      <c r="B128" s="7"/>
      <c r="C128" s="113"/>
      <c r="D128" s="114"/>
      <c r="E128" s="115"/>
      <c r="F128" s="20"/>
      <c r="G128" s="8"/>
      <c r="H128" s="77" t="str">
        <f>IF(F128&gt;0,IF(G128&gt;0, (F128*G128),IF(#REF!&gt;0,F128/#REF!,F128)),"")</f>
        <v/>
      </c>
      <c r="I128" s="78"/>
      <c r="J128" s="11"/>
      <c r="K128" s="11"/>
      <c r="L128" s="78"/>
      <c r="M128" s="109"/>
    </row>
    <row r="129" spans="1:13" ht="14.1" customHeight="1" x14ac:dyDescent="0.15">
      <c r="A129" s="32">
        <v>73</v>
      </c>
      <c r="B129" s="7"/>
      <c r="C129" s="113"/>
      <c r="D129" s="114"/>
      <c r="E129" s="115"/>
      <c r="F129" s="20"/>
      <c r="G129" s="8"/>
      <c r="H129" s="77" t="str">
        <f>IF(F129&gt;0,IF(G129&gt;0, (F129*G129),IF(#REF!&gt;0,F129/#REF!,F129)),"")</f>
        <v/>
      </c>
      <c r="I129" s="78"/>
      <c r="J129" s="11"/>
      <c r="K129" s="11"/>
      <c r="L129" s="78"/>
      <c r="M129" s="109"/>
    </row>
    <row r="130" spans="1:13" ht="14.1" customHeight="1" x14ac:dyDescent="0.15">
      <c r="A130" s="32">
        <v>74</v>
      </c>
      <c r="B130" s="7"/>
      <c r="C130" s="113"/>
      <c r="D130" s="114"/>
      <c r="E130" s="115"/>
      <c r="F130" s="20"/>
      <c r="G130" s="8"/>
      <c r="H130" s="77" t="str">
        <f>IF(F130&gt;0,IF(G130&gt;0, (F130*G130),IF(#REF!&gt;0,F130/#REF!,F130)),"")</f>
        <v/>
      </c>
      <c r="I130" s="78"/>
      <c r="J130" s="11"/>
      <c r="K130" s="11"/>
      <c r="L130" s="78"/>
      <c r="M130" s="109"/>
    </row>
    <row r="131" spans="1:13" ht="14.1" customHeight="1" x14ac:dyDescent="0.15">
      <c r="A131" s="32">
        <v>75</v>
      </c>
      <c r="B131" s="7"/>
      <c r="C131" s="113"/>
      <c r="D131" s="114"/>
      <c r="E131" s="115"/>
      <c r="F131" s="20"/>
      <c r="G131" s="8"/>
      <c r="H131" s="77" t="str">
        <f>IF(F131&gt;0,IF(G131&gt;0, (F131*G131),IF(#REF!&gt;0,F131/#REF!,F131)),"")</f>
        <v/>
      </c>
      <c r="I131" s="78"/>
      <c r="J131" s="11"/>
      <c r="K131" s="11"/>
      <c r="L131" s="78"/>
      <c r="M131" s="109"/>
    </row>
    <row r="132" spans="1:13" ht="14.1" customHeight="1" x14ac:dyDescent="0.15">
      <c r="A132" s="32">
        <v>76</v>
      </c>
      <c r="B132" s="7"/>
      <c r="C132" s="113"/>
      <c r="D132" s="114"/>
      <c r="E132" s="115"/>
      <c r="F132" s="20"/>
      <c r="G132" s="8"/>
      <c r="H132" s="77" t="str">
        <f>IF(F132&gt;0,IF(G132&gt;0, (F132*G132),IF(#REF!&gt;0,F132/#REF!,F132)),"")</f>
        <v/>
      </c>
      <c r="I132" s="78"/>
      <c r="J132" s="11"/>
      <c r="K132" s="11"/>
      <c r="L132" s="78"/>
      <c r="M132" s="109"/>
    </row>
    <row r="133" spans="1:13" ht="14.1" customHeight="1" x14ac:dyDescent="0.15">
      <c r="A133" s="32">
        <v>77</v>
      </c>
      <c r="B133" s="7"/>
      <c r="C133" s="113"/>
      <c r="D133" s="114"/>
      <c r="E133" s="115"/>
      <c r="F133" s="20"/>
      <c r="G133" s="8"/>
      <c r="H133" s="77" t="str">
        <f>IF(F133&gt;0,IF(G133&gt;0, (F133*G133),IF(#REF!&gt;0,F133/#REF!,F133)),"")</f>
        <v/>
      </c>
      <c r="I133" s="78"/>
      <c r="J133" s="11"/>
      <c r="K133" s="11"/>
      <c r="L133" s="78"/>
      <c r="M133" s="109"/>
    </row>
    <row r="134" spans="1:13" ht="14.1" customHeight="1" x14ac:dyDescent="0.15">
      <c r="A134" s="32">
        <v>78</v>
      </c>
      <c r="B134" s="7"/>
      <c r="C134" s="113"/>
      <c r="D134" s="114"/>
      <c r="E134" s="115"/>
      <c r="F134" s="20"/>
      <c r="G134" s="8"/>
      <c r="H134" s="77" t="str">
        <f>IF(F134&gt;0,IF(G134&gt;0, (F134*G134),IF(#REF!&gt;0,F134/#REF!,F134)),"")</f>
        <v/>
      </c>
      <c r="I134" s="78"/>
      <c r="J134" s="11"/>
      <c r="K134" s="11"/>
      <c r="L134" s="78"/>
      <c r="M134" s="109"/>
    </row>
    <row r="135" spans="1:13" ht="14.1" customHeight="1" x14ac:dyDescent="0.15">
      <c r="A135" s="32">
        <v>79</v>
      </c>
      <c r="B135" s="7"/>
      <c r="C135" s="113"/>
      <c r="D135" s="114"/>
      <c r="E135" s="115"/>
      <c r="F135" s="20"/>
      <c r="G135" s="8"/>
      <c r="H135" s="77" t="str">
        <f>IF(F135&gt;0,IF(G135&gt;0, (F135*G135),IF(#REF!&gt;0,F135/#REF!,F135)),"")</f>
        <v/>
      </c>
      <c r="I135" s="78"/>
      <c r="J135" s="11"/>
      <c r="K135" s="11"/>
      <c r="L135" s="78"/>
      <c r="M135" s="109"/>
    </row>
    <row r="136" spans="1:13" ht="14.1" customHeight="1" x14ac:dyDescent="0.15">
      <c r="A136" s="32">
        <v>80</v>
      </c>
      <c r="B136" s="7"/>
      <c r="C136" s="113"/>
      <c r="D136" s="114"/>
      <c r="E136" s="115"/>
      <c r="F136" s="20"/>
      <c r="G136" s="8"/>
      <c r="H136" s="77" t="str">
        <f>IF(F136&gt;0,IF(G136&gt;0, (F136*G136),IF(#REF!&gt;0,F136/#REF!,F136)),"")</f>
        <v/>
      </c>
      <c r="I136" s="78"/>
      <c r="J136" s="11"/>
      <c r="K136" s="11"/>
      <c r="L136" s="78"/>
      <c r="M136" s="109"/>
    </row>
    <row r="137" spans="1:13" ht="14.1" customHeight="1" x14ac:dyDescent="0.15">
      <c r="A137" s="32">
        <v>81</v>
      </c>
      <c r="B137" s="7"/>
      <c r="C137" s="113"/>
      <c r="D137" s="114"/>
      <c r="E137" s="115"/>
      <c r="F137" s="20"/>
      <c r="G137" s="8"/>
      <c r="H137" s="77" t="str">
        <f>IF(F137&gt;0,IF(G137&gt;0, (F137*G137),IF(#REF!&gt;0,F137/#REF!,F137)),"")</f>
        <v/>
      </c>
      <c r="I137" s="78"/>
      <c r="J137" s="11"/>
      <c r="K137" s="11"/>
      <c r="L137" s="78"/>
      <c r="M137" s="109"/>
    </row>
    <row r="138" spans="1:13" ht="14.1" customHeight="1" x14ac:dyDescent="0.15">
      <c r="A138" s="32">
        <v>82</v>
      </c>
      <c r="B138" s="7"/>
      <c r="C138" s="113"/>
      <c r="D138" s="114"/>
      <c r="E138" s="115"/>
      <c r="F138" s="20"/>
      <c r="G138" s="8"/>
      <c r="H138" s="77" t="str">
        <f>IF(F138&gt;0,IF(G138&gt;0, (F138*G138),IF(#REF!&gt;0,F138/#REF!,F138)),"")</f>
        <v/>
      </c>
      <c r="I138" s="78"/>
      <c r="J138" s="11"/>
      <c r="K138" s="11"/>
      <c r="L138" s="78"/>
      <c r="M138" s="109"/>
    </row>
    <row r="139" spans="1:13" ht="14.1" customHeight="1" x14ac:dyDescent="0.15">
      <c r="A139" s="32">
        <v>83</v>
      </c>
      <c r="B139" s="7"/>
      <c r="C139" s="113"/>
      <c r="D139" s="114"/>
      <c r="E139" s="115"/>
      <c r="F139" s="20"/>
      <c r="G139" s="8"/>
      <c r="H139" s="77" t="str">
        <f>IF(F139&gt;0,IF(G139&gt;0, (F139*G139),IF(#REF!&gt;0,F139/#REF!,F139)),"")</f>
        <v/>
      </c>
      <c r="I139" s="78"/>
      <c r="J139" s="11"/>
      <c r="K139" s="11"/>
      <c r="L139" s="78"/>
      <c r="M139" s="109"/>
    </row>
    <row r="140" spans="1:13" ht="14.1" customHeight="1" x14ac:dyDescent="0.15">
      <c r="A140" s="32">
        <v>84</v>
      </c>
      <c r="B140" s="7"/>
      <c r="C140" s="113"/>
      <c r="D140" s="114"/>
      <c r="E140" s="115"/>
      <c r="F140" s="20"/>
      <c r="G140" s="8"/>
      <c r="H140" s="77" t="str">
        <f>IF(F140&gt;0,IF(G140&gt;0, (F140*G140),IF(#REF!&gt;0,F140/#REF!,F140)),"")</f>
        <v/>
      </c>
      <c r="I140" s="78"/>
      <c r="J140" s="11"/>
      <c r="K140" s="11"/>
      <c r="L140" s="78"/>
      <c r="M140" s="109"/>
    </row>
    <row r="141" spans="1:13" ht="14.1" customHeight="1" x14ac:dyDescent="0.15">
      <c r="A141" s="32">
        <v>85</v>
      </c>
      <c r="B141" s="7"/>
      <c r="C141" s="113"/>
      <c r="D141" s="114"/>
      <c r="E141" s="115"/>
      <c r="F141" s="20"/>
      <c r="G141" s="8"/>
      <c r="H141" s="77" t="str">
        <f>IF(F141&gt;0,IF(G141&gt;0, (F141*G141),IF(#REF!&gt;0,F141/#REF!,F141)),"")</f>
        <v/>
      </c>
      <c r="I141" s="78"/>
      <c r="J141" s="11"/>
      <c r="K141" s="11"/>
      <c r="L141" s="78"/>
      <c r="M141" s="109"/>
    </row>
    <row r="142" spans="1:13" ht="14.1" customHeight="1" x14ac:dyDescent="0.15">
      <c r="A142" s="32">
        <v>86</v>
      </c>
      <c r="B142" s="7"/>
      <c r="C142" s="113"/>
      <c r="D142" s="114"/>
      <c r="E142" s="115"/>
      <c r="F142" s="20"/>
      <c r="G142" s="8"/>
      <c r="H142" s="77" t="str">
        <f>IF(F142&gt;0,IF(G142&gt;0, (F142*G142),IF(#REF!&gt;0,F142/#REF!,F142)),"")</f>
        <v/>
      </c>
      <c r="I142" s="78"/>
      <c r="J142" s="11"/>
      <c r="K142" s="11"/>
      <c r="L142" s="78"/>
      <c r="M142" s="109"/>
    </row>
    <row r="143" spans="1:13" ht="14.1" customHeight="1" x14ac:dyDescent="0.15">
      <c r="A143" s="32">
        <v>87</v>
      </c>
      <c r="B143" s="7"/>
      <c r="C143" s="113"/>
      <c r="D143" s="114"/>
      <c r="E143" s="115"/>
      <c r="F143" s="20"/>
      <c r="G143" s="8"/>
      <c r="H143" s="77" t="str">
        <f>IF(F143&gt;0,IF(G143&gt;0, (F143*G143),IF(#REF!&gt;0,F143/#REF!,F143)),"")</f>
        <v/>
      </c>
      <c r="I143" s="78"/>
      <c r="J143" s="11"/>
      <c r="K143" s="11"/>
      <c r="L143" s="78"/>
      <c r="M143" s="109"/>
    </row>
    <row r="144" spans="1:13" ht="14.1" customHeight="1" x14ac:dyDescent="0.15">
      <c r="A144" s="32">
        <v>88</v>
      </c>
      <c r="B144" s="7"/>
      <c r="C144" s="113"/>
      <c r="D144" s="114"/>
      <c r="E144" s="115"/>
      <c r="F144" s="20"/>
      <c r="G144" s="8"/>
      <c r="H144" s="77" t="str">
        <f>IF(F144&gt;0,IF(G144&gt;0, (F144*G144),IF(#REF!&gt;0,F144/#REF!,F144)),"")</f>
        <v/>
      </c>
      <c r="I144" s="78"/>
      <c r="J144" s="11"/>
      <c r="K144" s="11"/>
      <c r="L144" s="78"/>
      <c r="M144" s="109"/>
    </row>
    <row r="145" spans="1:14" ht="14.1" customHeight="1" x14ac:dyDescent="0.15">
      <c r="A145" s="32">
        <v>89</v>
      </c>
      <c r="B145" s="7"/>
      <c r="C145" s="113"/>
      <c r="D145" s="114"/>
      <c r="E145" s="115"/>
      <c r="F145" s="20"/>
      <c r="G145" s="8"/>
      <c r="H145" s="77" t="str">
        <f>IF(F145&gt;0,IF(G145&gt;0, (F145*G145),IF(#REF!&gt;0,F145/#REF!,F145)),"")</f>
        <v/>
      </c>
      <c r="I145" s="78"/>
      <c r="J145" s="11"/>
      <c r="K145" s="11"/>
      <c r="L145" s="78"/>
      <c r="M145" s="109"/>
    </row>
    <row r="146" spans="1:14" ht="14.1" customHeight="1" x14ac:dyDescent="0.15">
      <c r="A146" s="32">
        <v>90</v>
      </c>
      <c r="B146" s="7"/>
      <c r="C146" s="113"/>
      <c r="D146" s="114"/>
      <c r="E146" s="115"/>
      <c r="F146" s="20"/>
      <c r="G146" s="8"/>
      <c r="H146" s="77" t="str">
        <f>IF(F146&gt;0,IF(G146&gt;0, (F146*G146),IF(#REF!&gt;0,F146/#REF!,F146)),"")</f>
        <v/>
      </c>
      <c r="I146" s="78"/>
      <c r="J146" s="11"/>
      <c r="K146" s="11"/>
      <c r="L146" s="78"/>
      <c r="M146" s="109"/>
    </row>
    <row r="147" spans="1:14" ht="14.1" customHeight="1" x14ac:dyDescent="0.15">
      <c r="A147" s="32">
        <v>91</v>
      </c>
      <c r="B147" s="7"/>
      <c r="C147" s="113"/>
      <c r="D147" s="114"/>
      <c r="E147" s="115"/>
      <c r="F147" s="20"/>
      <c r="G147" s="8"/>
      <c r="H147" s="77" t="str">
        <f>IF(F147&gt;0,IF(G147&gt;0, (F147*G147),IF(#REF!&gt;0,F147/#REF!,F147)),"")</f>
        <v/>
      </c>
      <c r="I147" s="78"/>
      <c r="J147" s="11"/>
      <c r="K147" s="11"/>
      <c r="L147" s="78"/>
      <c r="M147" s="109"/>
    </row>
    <row r="148" spans="1:14" ht="14.1" customHeight="1" x14ac:dyDescent="0.15">
      <c r="A148" s="32">
        <v>92</v>
      </c>
      <c r="B148" s="7"/>
      <c r="C148" s="113"/>
      <c r="D148" s="114"/>
      <c r="E148" s="115"/>
      <c r="F148" s="20"/>
      <c r="G148" s="8"/>
      <c r="H148" s="77" t="str">
        <f>IF(F148&gt;0,IF(G148&gt;0, (F148*G148),IF(#REF!&gt;0,F148/#REF!,F148)),"")</f>
        <v/>
      </c>
      <c r="I148" s="78"/>
      <c r="J148" s="11"/>
      <c r="K148" s="11"/>
      <c r="L148" s="78"/>
      <c r="M148" s="109"/>
    </row>
    <row r="149" spans="1:14" ht="14.1" customHeight="1" x14ac:dyDescent="0.15">
      <c r="A149" s="32">
        <v>93</v>
      </c>
      <c r="B149" s="7"/>
      <c r="C149" s="113"/>
      <c r="D149" s="114"/>
      <c r="E149" s="115"/>
      <c r="F149" s="20"/>
      <c r="G149" s="8"/>
      <c r="H149" s="77"/>
      <c r="I149" s="78"/>
      <c r="J149" s="11"/>
      <c r="K149" s="11"/>
      <c r="L149" s="78"/>
      <c r="M149" s="109"/>
    </row>
    <row r="150" spans="1:14" ht="14.1" customHeight="1" x14ac:dyDescent="0.15">
      <c r="A150" s="32">
        <v>94</v>
      </c>
      <c r="B150" s="7"/>
      <c r="C150" s="113"/>
      <c r="D150" s="114"/>
      <c r="E150" s="115"/>
      <c r="F150" s="20"/>
      <c r="G150" s="8"/>
      <c r="H150" s="77" t="str">
        <f>IF(F150&gt;0,IF(G150&gt;0, (F150*G150),IF(#REF!&gt;0,F150/#REF!,F150)),"")</f>
        <v/>
      </c>
      <c r="I150" s="78"/>
      <c r="J150" s="11"/>
      <c r="K150" s="11"/>
      <c r="L150" s="78"/>
      <c r="M150" s="109"/>
    </row>
    <row r="151" spans="1:14" ht="14.1" customHeight="1" x14ac:dyDescent="0.15">
      <c r="A151" s="32">
        <v>95</v>
      </c>
      <c r="B151" s="7"/>
      <c r="C151" s="113"/>
      <c r="D151" s="114"/>
      <c r="E151" s="115"/>
      <c r="F151" s="20"/>
      <c r="G151" s="8"/>
      <c r="H151" s="77" t="str">
        <f>IF(F151&gt;0,IF(G151&gt;0, (F151*G151),IF(#REF!&gt;0,F151/#REF!,F151)),"")</f>
        <v/>
      </c>
      <c r="I151" s="78"/>
      <c r="J151" s="11"/>
      <c r="K151" s="11"/>
      <c r="L151" s="78"/>
      <c r="M151" s="109"/>
    </row>
    <row r="152" spans="1:14" x14ac:dyDescent="0.15">
      <c r="H152" s="27"/>
      <c r="I152" s="27"/>
      <c r="J152" s="27"/>
      <c r="K152" s="27"/>
      <c r="L152" s="27"/>
      <c r="M152" s="27"/>
    </row>
    <row r="153" spans="1:14" x14ac:dyDescent="0.15">
      <c r="G153" s="90"/>
      <c r="H153" s="90"/>
      <c r="I153" s="90"/>
      <c r="J153" s="90"/>
      <c r="K153" s="90"/>
      <c r="L153" s="90"/>
      <c r="M153" s="91"/>
      <c r="N153" s="30"/>
    </row>
    <row r="154" spans="1:14" x14ac:dyDescent="0.15">
      <c r="F154" s="90"/>
      <c r="G154" s="92" t="s">
        <v>111</v>
      </c>
      <c r="H154" s="93">
        <f xml:space="preserve"> SUM(H42:H56, H61:H75, H80:H104, H111:H151)</f>
        <v>0</v>
      </c>
      <c r="I154" s="94"/>
      <c r="J154" s="94"/>
      <c r="K154" s="94"/>
      <c r="L154" s="94"/>
      <c r="M154" s="94"/>
      <c r="N154" s="30"/>
    </row>
    <row r="157" spans="1:14" s="76" customFormat="1" ht="18" x14ac:dyDescent="0.2">
      <c r="A157" s="118" t="s">
        <v>126</v>
      </c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</row>
    <row r="158" spans="1:14" ht="13.5" x14ac:dyDescent="0.1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</row>
    <row r="159" spans="1:14" s="36" customFormat="1" x14ac:dyDescent="0.15">
      <c r="B159" s="72" t="s">
        <v>10</v>
      </c>
      <c r="C159" s="117" t="s">
        <v>39</v>
      </c>
      <c r="D159" s="117"/>
      <c r="E159" s="72" t="s">
        <v>40</v>
      </c>
      <c r="F159" s="72"/>
      <c r="G159" s="72"/>
      <c r="H159" s="71" t="s">
        <v>14</v>
      </c>
      <c r="I159" s="71"/>
      <c r="J159" s="71"/>
      <c r="K159" s="71"/>
      <c r="L159" s="71"/>
      <c r="M159" s="95"/>
    </row>
    <row r="160" spans="1:14" ht="14.1" customHeight="1" x14ac:dyDescent="0.15">
      <c r="A160" s="32">
        <v>96</v>
      </c>
      <c r="B160" s="14"/>
      <c r="C160" s="15"/>
      <c r="D160" s="16"/>
      <c r="E160" s="15"/>
      <c r="F160" s="17"/>
      <c r="G160" s="17"/>
      <c r="H160" s="18"/>
      <c r="I160" s="88"/>
      <c r="J160" s="88"/>
      <c r="K160" s="88"/>
      <c r="L160" s="88"/>
      <c r="M160" s="96"/>
    </row>
    <row r="161" spans="1:16" ht="14.1" customHeight="1" x14ac:dyDescent="0.15">
      <c r="A161" s="108">
        <v>97</v>
      </c>
      <c r="B161" s="14"/>
      <c r="C161" s="15"/>
      <c r="D161" s="16"/>
      <c r="E161" s="15"/>
      <c r="F161" s="17"/>
      <c r="G161" s="17"/>
      <c r="H161" s="18"/>
      <c r="I161" s="88"/>
      <c r="J161" s="88"/>
      <c r="K161" s="88"/>
      <c r="L161" s="88"/>
      <c r="M161" s="96"/>
    </row>
    <row r="162" spans="1:16" ht="14.1" customHeight="1" x14ac:dyDescent="0.15">
      <c r="A162" s="108">
        <v>98</v>
      </c>
      <c r="B162" s="23"/>
      <c r="C162" s="15"/>
      <c r="D162" s="16"/>
      <c r="E162" s="15"/>
      <c r="F162" s="17"/>
      <c r="G162" s="17"/>
      <c r="H162" s="18"/>
      <c r="I162" s="88"/>
      <c r="J162" s="88"/>
      <c r="K162" s="88"/>
      <c r="L162" s="88"/>
      <c r="M162" s="96"/>
    </row>
    <row r="163" spans="1:16" ht="14.1" customHeight="1" x14ac:dyDescent="0.15">
      <c r="A163" s="108">
        <v>99</v>
      </c>
      <c r="B163" s="23"/>
      <c r="C163" s="15"/>
      <c r="D163" s="16"/>
      <c r="E163" s="15"/>
      <c r="F163" s="17"/>
      <c r="G163" s="17"/>
      <c r="H163" s="18"/>
      <c r="I163" s="88"/>
      <c r="J163" s="88"/>
      <c r="K163" s="88"/>
      <c r="L163" s="88"/>
      <c r="M163" s="96"/>
    </row>
    <row r="164" spans="1:16" ht="14.1" customHeight="1" x14ac:dyDescent="0.15">
      <c r="A164" s="108">
        <v>100</v>
      </c>
      <c r="B164" s="23"/>
      <c r="C164" s="15"/>
      <c r="D164" s="16"/>
      <c r="E164" s="15"/>
      <c r="F164" s="17"/>
      <c r="G164" s="17"/>
      <c r="H164" s="18"/>
      <c r="I164" s="88"/>
      <c r="J164" s="88"/>
      <c r="K164" s="88"/>
      <c r="L164" s="88"/>
      <c r="M164" s="96"/>
    </row>
    <row r="165" spans="1:16" ht="14.25" x14ac:dyDescent="0.15">
      <c r="A165" s="31"/>
      <c r="B165" s="31"/>
      <c r="C165" s="97"/>
      <c r="D165" s="97"/>
      <c r="F165" s="36"/>
      <c r="G165" s="36" t="s">
        <v>128</v>
      </c>
      <c r="H165" s="98">
        <f>SUM(H160:H164)</f>
        <v>0</v>
      </c>
      <c r="I165" s="88"/>
      <c r="J165" s="88"/>
      <c r="K165" s="88"/>
      <c r="L165" s="88"/>
      <c r="M165" s="96"/>
    </row>
    <row r="166" spans="1:16" x14ac:dyDescent="0.15">
      <c r="C166" s="33"/>
      <c r="D166" s="33"/>
      <c r="E166" s="92"/>
      <c r="F166" s="92"/>
      <c r="G166" s="92"/>
      <c r="H166" s="99"/>
      <c r="I166" s="99"/>
      <c r="J166" s="99"/>
      <c r="K166" s="99"/>
      <c r="L166" s="99"/>
      <c r="M166" s="99"/>
    </row>
    <row r="167" spans="1:16" x14ac:dyDescent="0.15">
      <c r="C167" s="33"/>
      <c r="D167" s="33"/>
      <c r="E167" s="92"/>
      <c r="F167" s="92"/>
      <c r="G167" s="92"/>
      <c r="H167" s="99"/>
      <c r="I167" s="99"/>
      <c r="J167" s="99"/>
      <c r="K167" s="99"/>
      <c r="L167" s="99"/>
      <c r="M167" s="99"/>
    </row>
    <row r="169" spans="1:16" s="37" customFormat="1" ht="12.75" customHeight="1" x14ac:dyDescent="0.15">
      <c r="B169" s="116" t="s">
        <v>41</v>
      </c>
      <c r="C169" s="116"/>
      <c r="D169" s="116"/>
      <c r="E169" s="116"/>
      <c r="G169" s="38" t="s">
        <v>42</v>
      </c>
      <c r="H169" s="38"/>
      <c r="I169" s="38"/>
      <c r="J169" s="38"/>
      <c r="K169" s="38"/>
      <c r="L169" s="38"/>
      <c r="M169" s="100"/>
    </row>
    <row r="170" spans="1:16" s="37" customFormat="1" ht="14.25" x14ac:dyDescent="0.15">
      <c r="A170" s="38"/>
      <c r="B170" s="38"/>
      <c r="C170" s="38"/>
      <c r="D170" s="38"/>
      <c r="E170" s="38"/>
      <c r="G170" s="38"/>
      <c r="H170" s="38"/>
      <c r="I170" s="38"/>
      <c r="J170" s="38"/>
      <c r="K170" s="38"/>
      <c r="L170" s="38"/>
      <c r="M170" s="100"/>
    </row>
    <row r="171" spans="1:16" s="37" customFormat="1" ht="15" customHeight="1" x14ac:dyDescent="0.15">
      <c r="A171" s="39" t="s">
        <v>43</v>
      </c>
      <c r="B171" s="111" t="s">
        <v>44</v>
      </c>
      <c r="C171" s="111"/>
      <c r="D171" s="111"/>
      <c r="E171" s="111"/>
      <c r="F171" s="39" t="s">
        <v>43</v>
      </c>
      <c r="G171" s="111" t="s">
        <v>100</v>
      </c>
      <c r="H171" s="111"/>
      <c r="I171" s="111"/>
      <c r="J171" s="111"/>
      <c r="K171" s="111"/>
      <c r="L171" s="111"/>
      <c r="M171" s="111"/>
      <c r="N171" s="102"/>
      <c r="O171" s="102"/>
      <c r="P171" s="102"/>
    </row>
    <row r="172" spans="1:16" s="37" customFormat="1" ht="15.75" customHeight="1" x14ac:dyDescent="0.15">
      <c r="A172" s="39" t="s">
        <v>45</v>
      </c>
      <c r="B172" s="111" t="s">
        <v>109</v>
      </c>
      <c r="C172" s="111"/>
      <c r="D172" s="111"/>
      <c r="E172" s="111"/>
      <c r="F172" s="39" t="s">
        <v>45</v>
      </c>
      <c r="G172" s="110" t="s">
        <v>101</v>
      </c>
      <c r="H172" s="110"/>
      <c r="I172" s="110"/>
      <c r="J172" s="110"/>
      <c r="K172" s="110"/>
      <c r="L172" s="110"/>
      <c r="M172" s="110"/>
      <c r="N172" s="102"/>
      <c r="O172" s="102"/>
      <c r="P172" s="102"/>
    </row>
    <row r="173" spans="1:16" s="37" customFormat="1" ht="16.5" customHeight="1" x14ac:dyDescent="0.15">
      <c r="A173" s="39"/>
      <c r="B173" s="111" t="s">
        <v>110</v>
      </c>
      <c r="C173" s="111"/>
      <c r="D173" s="111"/>
      <c r="E173" s="111"/>
      <c r="F173" s="39" t="s">
        <v>46</v>
      </c>
      <c r="G173" s="110" t="s">
        <v>102</v>
      </c>
      <c r="H173" s="110"/>
      <c r="I173" s="110"/>
      <c r="J173" s="110"/>
      <c r="K173" s="110"/>
      <c r="L173" s="110"/>
      <c r="M173" s="110"/>
      <c r="N173" s="102"/>
      <c r="O173" s="102"/>
      <c r="P173" s="102"/>
    </row>
    <row r="174" spans="1:16" s="37" customFormat="1" ht="14.25" x14ac:dyDescent="0.15">
      <c r="A174" s="39" t="s">
        <v>46</v>
      </c>
      <c r="B174" s="111" t="s">
        <v>47</v>
      </c>
      <c r="C174" s="111"/>
      <c r="D174" s="111"/>
      <c r="E174" s="111"/>
      <c r="F174" s="39" t="s">
        <v>48</v>
      </c>
      <c r="G174" s="110" t="s">
        <v>103</v>
      </c>
      <c r="H174" s="110"/>
      <c r="I174" s="110"/>
      <c r="J174" s="110"/>
      <c r="K174" s="110"/>
      <c r="L174" s="110"/>
      <c r="M174" s="110"/>
      <c r="N174" s="102"/>
      <c r="O174" s="102"/>
      <c r="P174" s="102"/>
    </row>
    <row r="175" spans="1:16" s="37" customFormat="1" ht="14.25" x14ac:dyDescent="0.15">
      <c r="A175" s="39" t="s">
        <v>48</v>
      </c>
      <c r="B175" s="111" t="s">
        <v>49</v>
      </c>
      <c r="C175" s="111"/>
      <c r="D175" s="111"/>
      <c r="E175" s="111"/>
      <c r="F175" s="39" t="s">
        <v>51</v>
      </c>
      <c r="G175" s="110" t="s">
        <v>104</v>
      </c>
      <c r="H175" s="110"/>
      <c r="I175" s="110"/>
      <c r="J175" s="110"/>
      <c r="K175" s="110"/>
      <c r="L175" s="110"/>
      <c r="M175" s="110"/>
      <c r="N175" s="102"/>
      <c r="O175" s="102"/>
      <c r="P175" s="102"/>
    </row>
    <row r="176" spans="1:16" s="37" customFormat="1" ht="14.25" x14ac:dyDescent="0.15">
      <c r="A176" s="39" t="s">
        <v>51</v>
      </c>
      <c r="B176" s="111" t="s">
        <v>50</v>
      </c>
      <c r="C176" s="111"/>
      <c r="D176" s="111"/>
      <c r="E176" s="111"/>
      <c r="F176" s="39" t="s">
        <v>53</v>
      </c>
      <c r="G176" s="110" t="s">
        <v>105</v>
      </c>
      <c r="H176" s="110"/>
      <c r="I176" s="110"/>
      <c r="J176" s="110"/>
      <c r="K176" s="110"/>
      <c r="L176" s="110"/>
      <c r="M176" s="110"/>
      <c r="N176" s="102"/>
      <c r="O176" s="102"/>
      <c r="P176" s="102"/>
    </row>
    <row r="177" spans="1:16" s="37" customFormat="1" ht="15" customHeight="1" x14ac:dyDescent="0.15">
      <c r="A177" s="39" t="s">
        <v>53</v>
      </c>
      <c r="B177" s="111" t="s">
        <v>52</v>
      </c>
      <c r="C177" s="111"/>
      <c r="D177" s="111"/>
      <c r="E177" s="111"/>
      <c r="F177" s="39" t="s">
        <v>55</v>
      </c>
      <c r="G177" s="111" t="s">
        <v>107</v>
      </c>
      <c r="H177" s="111"/>
      <c r="I177" s="111"/>
      <c r="J177" s="111"/>
      <c r="K177" s="111"/>
      <c r="L177" s="111"/>
      <c r="M177" s="111"/>
      <c r="N177" s="102"/>
      <c r="O177" s="102"/>
      <c r="P177" s="102"/>
    </row>
    <row r="178" spans="1:16" s="37" customFormat="1" ht="15.6" customHeight="1" x14ac:dyDescent="0.15">
      <c r="A178" s="39" t="s">
        <v>55</v>
      </c>
      <c r="B178" s="111" t="s">
        <v>54</v>
      </c>
      <c r="C178" s="111"/>
      <c r="D178" s="111"/>
      <c r="E178" s="111"/>
      <c r="F178" s="39"/>
      <c r="G178" s="112" t="s">
        <v>108</v>
      </c>
      <c r="H178" s="112"/>
      <c r="I178" s="112"/>
      <c r="J178" s="112"/>
      <c r="K178" s="112"/>
      <c r="L178" s="112"/>
      <c r="M178" s="112"/>
      <c r="N178" s="102"/>
      <c r="O178" s="102"/>
      <c r="P178" s="102"/>
    </row>
    <row r="179" spans="1:16" s="37" customFormat="1" ht="15.6" customHeight="1" x14ac:dyDescent="0.15">
      <c r="A179" s="39" t="s">
        <v>56</v>
      </c>
      <c r="B179" s="111" t="s">
        <v>57</v>
      </c>
      <c r="C179" s="111"/>
      <c r="D179" s="111"/>
      <c r="E179" s="111"/>
      <c r="F179" s="39" t="s">
        <v>56</v>
      </c>
      <c r="G179" s="110" t="s">
        <v>106</v>
      </c>
      <c r="H179" s="110"/>
      <c r="I179" s="110"/>
      <c r="J179" s="110"/>
      <c r="K179" s="110"/>
      <c r="L179" s="110"/>
      <c r="M179" s="110"/>
      <c r="N179" s="102"/>
      <c r="O179" s="102"/>
      <c r="P179" s="102"/>
    </row>
    <row r="180" spans="1:16" s="37" customFormat="1" ht="15.6" customHeight="1" x14ac:dyDescent="0.15">
      <c r="A180" s="39" t="s">
        <v>58</v>
      </c>
      <c r="B180" s="111" t="s">
        <v>59</v>
      </c>
      <c r="C180" s="111"/>
      <c r="D180" s="111"/>
      <c r="E180" s="111"/>
      <c r="F180" s="104"/>
      <c r="H180" s="84"/>
      <c r="I180" s="84"/>
      <c r="J180" s="84"/>
      <c r="K180" s="84"/>
      <c r="L180" s="84"/>
      <c r="M180" s="84"/>
      <c r="N180" s="102"/>
      <c r="O180" s="102"/>
      <c r="P180" s="102"/>
    </row>
    <row r="181" spans="1:16" s="37" customFormat="1" ht="15.6" customHeight="1" x14ac:dyDescent="0.15">
      <c r="A181" s="39" t="s">
        <v>60</v>
      </c>
      <c r="B181" s="111" t="s">
        <v>61</v>
      </c>
      <c r="C181" s="111"/>
      <c r="D181" s="111"/>
      <c r="E181" s="111"/>
      <c r="F181" s="104"/>
      <c r="G181" s="27"/>
      <c r="H181" s="84"/>
      <c r="I181" s="84"/>
      <c r="J181" s="84"/>
      <c r="K181" s="84"/>
      <c r="L181" s="84"/>
      <c r="M181" s="84"/>
      <c r="N181" s="102"/>
      <c r="O181" s="102"/>
      <c r="P181" s="102"/>
    </row>
    <row r="182" spans="1:16" s="37" customFormat="1" ht="15.6" customHeight="1" x14ac:dyDescent="0.15">
      <c r="A182" s="39" t="s">
        <v>62</v>
      </c>
      <c r="B182" s="111" t="s">
        <v>63</v>
      </c>
      <c r="C182" s="111"/>
      <c r="D182" s="111"/>
      <c r="E182" s="111"/>
      <c r="F182" s="104"/>
      <c r="G182" s="27"/>
      <c r="H182" s="84"/>
      <c r="I182" s="84"/>
      <c r="J182" s="84"/>
      <c r="K182" s="84"/>
      <c r="L182" s="84"/>
      <c r="M182" s="84"/>
      <c r="N182" s="102"/>
      <c r="O182" s="102"/>
      <c r="P182" s="102"/>
    </row>
    <row r="183" spans="1:16" s="37" customFormat="1" ht="15.6" customHeight="1" x14ac:dyDescent="0.15">
      <c r="A183" s="39" t="s">
        <v>64</v>
      </c>
      <c r="B183" s="111" t="s">
        <v>65</v>
      </c>
      <c r="C183" s="111"/>
      <c r="D183" s="111"/>
      <c r="E183" s="111"/>
      <c r="F183" s="104"/>
      <c r="G183" s="27"/>
      <c r="H183" s="84"/>
      <c r="I183" s="84"/>
      <c r="J183" s="84"/>
      <c r="K183" s="84"/>
      <c r="L183" s="84"/>
      <c r="M183" s="84"/>
      <c r="N183" s="102"/>
      <c r="O183" s="102"/>
      <c r="P183" s="102"/>
    </row>
    <row r="184" spans="1:16" s="37" customFormat="1" ht="15.6" customHeight="1" x14ac:dyDescent="0.15">
      <c r="A184" s="39" t="s">
        <v>66</v>
      </c>
      <c r="B184" s="111" t="s">
        <v>67</v>
      </c>
      <c r="C184" s="111"/>
      <c r="D184" s="111"/>
      <c r="E184" s="111"/>
      <c r="F184" s="104"/>
      <c r="G184" s="27"/>
      <c r="H184" s="84"/>
      <c r="I184" s="84"/>
      <c r="J184" s="84"/>
      <c r="K184" s="84"/>
      <c r="L184" s="84"/>
      <c r="M184" s="84"/>
      <c r="N184" s="102"/>
      <c r="O184" s="102"/>
      <c r="P184" s="102"/>
    </row>
    <row r="185" spans="1:16" s="37" customFormat="1" ht="15.6" customHeight="1" x14ac:dyDescent="0.15">
      <c r="A185" s="39" t="s">
        <v>68</v>
      </c>
      <c r="B185" s="111" t="s">
        <v>69</v>
      </c>
      <c r="C185" s="111"/>
      <c r="D185" s="111"/>
      <c r="E185" s="111"/>
      <c r="F185" s="104"/>
      <c r="G185" s="27"/>
      <c r="H185" s="84"/>
      <c r="I185" s="84"/>
      <c r="J185" s="84"/>
      <c r="K185" s="84"/>
      <c r="L185" s="84"/>
      <c r="M185" s="84"/>
      <c r="N185" s="102"/>
      <c r="O185" s="102"/>
      <c r="P185" s="102"/>
    </row>
    <row r="186" spans="1:16" s="37" customFormat="1" ht="17.45" customHeight="1" x14ac:dyDescent="0.15">
      <c r="A186" s="39" t="s">
        <v>70</v>
      </c>
      <c r="B186" s="111" t="s">
        <v>71</v>
      </c>
      <c r="C186" s="111"/>
      <c r="D186" s="111"/>
      <c r="E186" s="111"/>
      <c r="F186" s="104"/>
      <c r="G186" s="27"/>
      <c r="H186" s="84"/>
      <c r="I186" s="84"/>
      <c r="J186" s="84"/>
      <c r="K186" s="84"/>
      <c r="L186" s="84"/>
      <c r="M186" s="84"/>
      <c r="N186" s="102"/>
      <c r="O186" s="102"/>
      <c r="P186" s="102"/>
    </row>
    <row r="187" spans="1:16" s="37" customFormat="1" ht="15.75" customHeight="1" x14ac:dyDescent="0.15">
      <c r="A187" s="39" t="s">
        <v>72</v>
      </c>
      <c r="B187" s="111" t="s">
        <v>73</v>
      </c>
      <c r="C187" s="111"/>
      <c r="D187" s="111"/>
      <c r="E187" s="111"/>
      <c r="F187" s="104"/>
      <c r="G187" s="27"/>
      <c r="H187" s="84"/>
      <c r="I187" s="84"/>
      <c r="J187" s="84"/>
      <c r="K187" s="84"/>
      <c r="L187" s="84"/>
      <c r="M187" s="84"/>
      <c r="N187" s="102"/>
      <c r="O187" s="102"/>
      <c r="P187" s="102"/>
    </row>
    <row r="188" spans="1:16" s="37" customFormat="1" ht="15.75" customHeight="1" x14ac:dyDescent="0.15">
      <c r="A188" s="39" t="s">
        <v>74</v>
      </c>
      <c r="B188" s="103" t="s">
        <v>119</v>
      </c>
      <c r="C188" s="101"/>
      <c r="D188" s="101"/>
      <c r="E188" s="101"/>
      <c r="F188" s="104"/>
      <c r="G188" s="27"/>
      <c r="H188" s="84"/>
      <c r="I188" s="84"/>
      <c r="J188" s="84"/>
      <c r="K188" s="84"/>
      <c r="L188" s="84"/>
      <c r="M188" s="84"/>
      <c r="N188" s="102"/>
      <c r="O188" s="102"/>
      <c r="P188" s="102"/>
    </row>
    <row r="189" spans="1:16" s="37" customFormat="1" ht="27" customHeight="1" x14ac:dyDescent="0.15">
      <c r="A189" s="39" t="s">
        <v>76</v>
      </c>
      <c r="B189" s="111" t="s">
        <v>75</v>
      </c>
      <c r="C189" s="111"/>
      <c r="D189" s="111"/>
      <c r="E189" s="111"/>
      <c r="F189" s="104"/>
      <c r="G189" s="27"/>
      <c r="H189" s="84"/>
      <c r="I189" s="84"/>
      <c r="J189" s="84"/>
      <c r="K189" s="84"/>
      <c r="L189" s="84"/>
      <c r="M189" s="84"/>
      <c r="N189" s="102"/>
      <c r="O189" s="102"/>
      <c r="P189" s="102"/>
    </row>
    <row r="190" spans="1:16" s="37" customFormat="1" ht="29.25" customHeight="1" x14ac:dyDescent="0.15">
      <c r="A190" s="39" t="s">
        <v>78</v>
      </c>
      <c r="B190" s="111" t="s">
        <v>77</v>
      </c>
      <c r="C190" s="111"/>
      <c r="D190" s="111"/>
      <c r="E190" s="111"/>
      <c r="F190" s="104"/>
      <c r="G190" s="27"/>
      <c r="H190" s="84"/>
      <c r="I190" s="84"/>
      <c r="J190" s="84"/>
      <c r="K190" s="84"/>
      <c r="L190" s="84"/>
      <c r="M190" s="84"/>
      <c r="N190" s="102"/>
      <c r="O190" s="102"/>
      <c r="P190" s="102"/>
    </row>
    <row r="191" spans="1:16" s="37" customFormat="1" ht="27" customHeight="1" x14ac:dyDescent="0.15">
      <c r="A191" s="39" t="s">
        <v>79</v>
      </c>
      <c r="B191" s="111" t="s">
        <v>98</v>
      </c>
      <c r="C191" s="111"/>
      <c r="D191" s="111"/>
      <c r="E191" s="111"/>
      <c r="G191" s="27"/>
      <c r="H191" s="84"/>
      <c r="I191" s="84"/>
      <c r="J191" s="84"/>
      <c r="K191" s="84"/>
      <c r="L191" s="84"/>
      <c r="N191" s="102"/>
      <c r="O191" s="102"/>
      <c r="P191" s="102"/>
    </row>
    <row r="192" spans="1:16" s="37" customFormat="1" ht="15" hidden="1" customHeight="1" x14ac:dyDescent="0.15">
      <c r="A192" s="39" t="s">
        <v>79</v>
      </c>
      <c r="B192" s="111" t="s">
        <v>80</v>
      </c>
      <c r="C192" s="111"/>
      <c r="D192" s="111"/>
      <c r="E192" s="111"/>
      <c r="G192" s="27"/>
      <c r="H192" s="84"/>
      <c r="I192" s="84"/>
      <c r="J192" s="84"/>
      <c r="K192" s="84"/>
      <c r="L192" s="84"/>
      <c r="M192" s="84"/>
    </row>
    <row r="193" spans="1:13" s="37" customFormat="1" ht="15" hidden="1" customHeight="1" x14ac:dyDescent="0.15">
      <c r="A193" s="39" t="s">
        <v>81</v>
      </c>
      <c r="B193" s="111" t="s">
        <v>82</v>
      </c>
      <c r="C193" s="111"/>
      <c r="D193" s="111"/>
      <c r="E193" s="111"/>
      <c r="G193" s="27"/>
      <c r="H193" s="84"/>
      <c r="I193" s="84"/>
      <c r="J193" s="84"/>
      <c r="K193" s="84"/>
      <c r="L193" s="84"/>
      <c r="M193" s="84"/>
    </row>
    <row r="194" spans="1:13" s="37" customFormat="1" ht="15" hidden="1" customHeight="1" x14ac:dyDescent="0.15">
      <c r="A194" s="40"/>
      <c r="B194" s="40"/>
      <c r="C194" s="40"/>
      <c r="D194" s="40"/>
      <c r="E194" s="40"/>
      <c r="G194" s="27"/>
      <c r="H194" s="84"/>
      <c r="I194" s="84"/>
      <c r="J194" s="84"/>
      <c r="K194" s="84"/>
      <c r="L194" s="84"/>
      <c r="M194" s="84"/>
    </row>
    <row r="195" spans="1:13" s="37" customFormat="1" ht="15" hidden="1" customHeight="1" x14ac:dyDescent="0.15">
      <c r="A195" s="40"/>
      <c r="B195" s="40"/>
      <c r="C195" s="40"/>
      <c r="D195" s="40"/>
      <c r="E195" s="40"/>
      <c r="G195" s="27"/>
      <c r="H195" s="84"/>
      <c r="I195" s="84"/>
      <c r="J195" s="84"/>
      <c r="K195" s="84"/>
      <c r="L195" s="84"/>
      <c r="M195" s="84"/>
    </row>
    <row r="196" spans="1:13" s="37" customFormat="1" ht="15" hidden="1" customHeight="1" x14ac:dyDescent="0.15">
      <c r="A196" s="40"/>
      <c r="B196" s="40"/>
      <c r="C196" s="40"/>
      <c r="D196" s="40"/>
      <c r="E196" s="40"/>
      <c r="G196" s="27"/>
      <c r="H196" s="84"/>
      <c r="I196" s="84"/>
      <c r="J196" s="84"/>
      <c r="K196" s="84"/>
      <c r="L196" s="84"/>
      <c r="M196" s="84"/>
    </row>
    <row r="197" spans="1:13" s="37" customFormat="1" ht="15" hidden="1" customHeight="1" x14ac:dyDescent="0.15">
      <c r="A197" s="40"/>
      <c r="B197" s="40"/>
      <c r="C197" s="40"/>
      <c r="D197" s="40"/>
      <c r="E197" s="40"/>
      <c r="G197" s="27"/>
      <c r="H197" s="84"/>
      <c r="I197" s="84"/>
      <c r="J197" s="84"/>
      <c r="K197" s="84"/>
      <c r="L197" s="84"/>
      <c r="M197" s="84"/>
    </row>
    <row r="198" spans="1:13" s="37" customFormat="1" ht="15" hidden="1" customHeight="1" x14ac:dyDescent="0.15">
      <c r="A198" s="40"/>
      <c r="B198" s="40"/>
      <c r="C198" s="40"/>
      <c r="D198" s="40"/>
      <c r="E198" s="40"/>
      <c r="G198" s="27"/>
      <c r="H198" s="84"/>
      <c r="I198" s="84"/>
      <c r="J198" s="84"/>
      <c r="K198" s="84"/>
      <c r="L198" s="84"/>
      <c r="M198" s="84"/>
    </row>
    <row r="199" spans="1:13" s="37" customFormat="1" ht="15" hidden="1" customHeight="1" x14ac:dyDescent="0.15">
      <c r="A199" s="29"/>
      <c r="B199" s="40"/>
      <c r="C199" s="40"/>
      <c r="D199" s="40"/>
      <c r="E199" s="40"/>
      <c r="G199" s="27"/>
      <c r="H199" s="84"/>
      <c r="I199" s="84"/>
      <c r="J199" s="84"/>
      <c r="K199" s="84"/>
      <c r="L199" s="84"/>
      <c r="M199" s="84"/>
    </row>
    <row r="200" spans="1:13" s="37" customFormat="1" ht="15" hidden="1" customHeight="1" x14ac:dyDescent="0.15">
      <c r="A200" s="29"/>
      <c r="B200" s="29"/>
      <c r="G200" s="27"/>
      <c r="H200" s="84"/>
      <c r="I200" s="84"/>
      <c r="J200" s="84"/>
      <c r="K200" s="84"/>
      <c r="L200" s="84"/>
      <c r="M200" s="84"/>
    </row>
    <row r="201" spans="1:13" s="37" customFormat="1" ht="15" hidden="1" customHeight="1" x14ac:dyDescent="0.15">
      <c r="A201" s="29"/>
      <c r="B201" s="29"/>
      <c r="G201" s="27"/>
      <c r="H201" s="84"/>
      <c r="I201" s="84"/>
      <c r="J201" s="84"/>
      <c r="K201" s="84"/>
      <c r="L201" s="84"/>
      <c r="M201" s="84"/>
    </row>
    <row r="202" spans="1:13" s="37" customFormat="1" ht="15" hidden="1" customHeight="1" x14ac:dyDescent="0.15">
      <c r="A202" s="29"/>
      <c r="B202" s="29"/>
      <c r="G202" s="27"/>
      <c r="H202" s="84"/>
      <c r="I202" s="84"/>
      <c r="J202" s="84"/>
      <c r="K202" s="84"/>
      <c r="L202" s="84"/>
      <c r="M202" s="84"/>
    </row>
    <row r="203" spans="1:13" s="37" customFormat="1" ht="15" hidden="1" customHeight="1" x14ac:dyDescent="0.15">
      <c r="A203" s="29"/>
      <c r="B203" s="29"/>
      <c r="G203" s="27"/>
      <c r="H203" s="84"/>
      <c r="I203" s="84"/>
      <c r="J203" s="84"/>
      <c r="K203" s="84"/>
      <c r="L203" s="84"/>
      <c r="M203" s="84"/>
    </row>
    <row r="204" spans="1:13" s="37" customFormat="1" ht="15" hidden="1" customHeight="1" x14ac:dyDescent="0.15">
      <c r="A204" s="29"/>
      <c r="B204" s="29"/>
      <c r="G204" s="27"/>
      <c r="H204" s="84"/>
      <c r="I204" s="84"/>
      <c r="J204" s="84"/>
      <c r="K204" s="84"/>
      <c r="L204" s="84"/>
      <c r="M204" s="84"/>
    </row>
    <row r="205" spans="1:13" s="37" customFormat="1" ht="15" hidden="1" customHeight="1" x14ac:dyDescent="0.15">
      <c r="A205" s="29"/>
      <c r="B205" s="29"/>
      <c r="G205" s="27"/>
      <c r="H205" s="84"/>
      <c r="I205" s="84"/>
      <c r="J205" s="84"/>
      <c r="K205" s="84"/>
      <c r="L205" s="84"/>
      <c r="M205" s="84"/>
    </row>
    <row r="206" spans="1:13" s="37" customFormat="1" ht="15" hidden="1" customHeight="1" x14ac:dyDescent="0.15">
      <c r="A206" s="29"/>
      <c r="B206" s="29"/>
      <c r="G206" s="27"/>
      <c r="H206" s="84"/>
      <c r="I206" s="84"/>
      <c r="J206" s="84"/>
      <c r="K206" s="84"/>
      <c r="L206" s="84"/>
      <c r="M206" s="84"/>
    </row>
    <row r="207" spans="1:13" ht="14.25" x14ac:dyDescent="0.15">
      <c r="A207" s="29"/>
      <c r="B207" s="29"/>
      <c r="C207" s="37"/>
      <c r="D207" s="37"/>
      <c r="E207" s="37"/>
    </row>
    <row r="208" spans="1:13" ht="14.25" x14ac:dyDescent="0.15">
      <c r="A208" s="29"/>
      <c r="B208" s="29"/>
      <c r="C208" s="37"/>
      <c r="D208" s="37"/>
      <c r="E208" s="37"/>
    </row>
    <row r="213" spans="1:13" s="105" customFormat="1" ht="25.5" customHeight="1" x14ac:dyDescent="0.15">
      <c r="A213" s="30"/>
      <c r="B213" s="30"/>
      <c r="C213" s="27"/>
      <c r="D213" s="27"/>
      <c r="E213" s="27"/>
      <c r="G213" s="27"/>
      <c r="H213" s="84"/>
      <c r="I213" s="84"/>
      <c r="J213" s="84"/>
      <c r="K213" s="84"/>
      <c r="L213" s="84"/>
      <c r="M213" s="84"/>
    </row>
    <row r="214" spans="1:13" x14ac:dyDescent="0.15">
      <c r="A214" s="41"/>
      <c r="B214" s="41"/>
      <c r="C214" s="105"/>
      <c r="D214" s="105"/>
      <c r="E214" s="105"/>
    </row>
  </sheetData>
  <sheetProtection algorithmName="SHA-512" hashValue="R9ns1FQsboX+V/VBUonnvPBpsHhKsCESBcqo5ChCZ1QSE/6y0+7xDbwiK4ylfgt+FP3cJkYw9+JVr0gia6H7RA==" saltValue="ykLPdaXTCCwMeuLVA+wUuA==" spinCount="100000" sheet="1" objects="1" scenarios="1" selectLockedCells="1"/>
  <mergeCells count="101">
    <mergeCell ref="G6:J6"/>
    <mergeCell ref="G9:J9"/>
    <mergeCell ref="G24:J24"/>
    <mergeCell ref="G27:J27"/>
    <mergeCell ref="A34:M34"/>
    <mergeCell ref="A39:L39"/>
    <mergeCell ref="C150:E150"/>
    <mergeCell ref="B36:C36"/>
    <mergeCell ref="B37:C37"/>
    <mergeCell ref="C125:E125"/>
    <mergeCell ref="C126:E126"/>
    <mergeCell ref="C119:E119"/>
    <mergeCell ref="C111:E111"/>
    <mergeCell ref="C113:E113"/>
    <mergeCell ref="C114:E114"/>
    <mergeCell ref="A58:L58"/>
    <mergeCell ref="C6:E6"/>
    <mergeCell ref="C9:E9"/>
    <mergeCell ref="G7:H7"/>
    <mergeCell ref="G10:H10"/>
    <mergeCell ref="C10:E10"/>
    <mergeCell ref="C7:E7"/>
    <mergeCell ref="B187:E187"/>
    <mergeCell ref="B175:E175"/>
    <mergeCell ref="B172:E172"/>
    <mergeCell ref="B174:E174"/>
    <mergeCell ref="B177:E177"/>
    <mergeCell ref="B178:E178"/>
    <mergeCell ref="B173:E173"/>
    <mergeCell ref="B182:E182"/>
    <mergeCell ref="B183:E183"/>
    <mergeCell ref="B184:E184"/>
    <mergeCell ref="B180:E180"/>
    <mergeCell ref="B181:E181"/>
    <mergeCell ref="B193:E193"/>
    <mergeCell ref="B186:E186"/>
    <mergeCell ref="B189:E189"/>
    <mergeCell ref="B190:E190"/>
    <mergeCell ref="B191:E191"/>
    <mergeCell ref="C115:E115"/>
    <mergeCell ref="C116:E116"/>
    <mergeCell ref="C112:E112"/>
    <mergeCell ref="C110:E110"/>
    <mergeCell ref="B185:E185"/>
    <mergeCell ref="C117:E117"/>
    <mergeCell ref="C118:E118"/>
    <mergeCell ref="C127:E127"/>
    <mergeCell ref="B192:E192"/>
    <mergeCell ref="C120:E120"/>
    <mergeCell ref="C121:E121"/>
    <mergeCell ref="C122:E122"/>
    <mergeCell ref="C123:E123"/>
    <mergeCell ref="C124:E124"/>
    <mergeCell ref="C134:E134"/>
    <mergeCell ref="C135:E135"/>
    <mergeCell ref="C136:E136"/>
    <mergeCell ref="C137:E137"/>
    <mergeCell ref="C128:E128"/>
    <mergeCell ref="C24:E24"/>
    <mergeCell ref="C27:E27"/>
    <mergeCell ref="C28:E28"/>
    <mergeCell ref="C25:E25"/>
    <mergeCell ref="G31:J31"/>
    <mergeCell ref="H32:J32"/>
    <mergeCell ref="C30:E30"/>
    <mergeCell ref="C31:E31"/>
    <mergeCell ref="C129:E129"/>
    <mergeCell ref="A108:L108"/>
    <mergeCell ref="A77:L77"/>
    <mergeCell ref="C133:E133"/>
    <mergeCell ref="C130:E130"/>
    <mergeCell ref="C131:E131"/>
    <mergeCell ref="C132:E132"/>
    <mergeCell ref="C138:E138"/>
    <mergeCell ref="C139:E139"/>
    <mergeCell ref="C140:E140"/>
    <mergeCell ref="C141:E141"/>
    <mergeCell ref="C142:E142"/>
    <mergeCell ref="G176:M176"/>
    <mergeCell ref="G177:M177"/>
    <mergeCell ref="G178:M178"/>
    <mergeCell ref="G179:M179"/>
    <mergeCell ref="C143:E143"/>
    <mergeCell ref="C144:E144"/>
    <mergeCell ref="C145:E145"/>
    <mergeCell ref="B179:E179"/>
    <mergeCell ref="B171:E171"/>
    <mergeCell ref="B176:E176"/>
    <mergeCell ref="B169:E169"/>
    <mergeCell ref="C159:D159"/>
    <mergeCell ref="C146:E146"/>
    <mergeCell ref="C147:E147"/>
    <mergeCell ref="C148:E148"/>
    <mergeCell ref="C149:E149"/>
    <mergeCell ref="G171:M171"/>
    <mergeCell ref="G172:M172"/>
    <mergeCell ref="G173:M173"/>
    <mergeCell ref="G174:M174"/>
    <mergeCell ref="G175:M175"/>
    <mergeCell ref="A157:M157"/>
    <mergeCell ref="C151:E151"/>
  </mergeCells>
  <phoneticPr fontId="0" type="noConversion"/>
  <dataValidations count="1">
    <dataValidation type="list" allowBlank="1" showInputMessage="1" showErrorMessage="1" sqref="M37 M42:M56 M61:M75 M80:M105 M111:M151 J106" xr:uid="{00000000-0002-0000-0000-000000000000}">
      <formula1>Code</formula1>
    </dataValidation>
  </dataValidations>
  <printOptions horizontalCentered="1"/>
  <pageMargins left="0.25" right="0.25" top="0.72" bottom="1" header="0.5" footer="0.75"/>
  <pageSetup scale="62" fitToHeight="0" orientation="portrait" r:id="rId1"/>
  <headerFooter alignWithMargins="0"/>
  <rowBreaks count="2" manualBreakCount="2">
    <brk id="75" max="12" man="1"/>
    <brk id="154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12</xdr:col>
                    <xdr:colOff>714375</xdr:colOff>
                    <xdr:row>190</xdr:row>
                    <xdr:rowOff>0</xdr:rowOff>
                  </from>
                  <to>
                    <xdr:col>12</xdr:col>
                    <xdr:colOff>914400</xdr:colOff>
                    <xdr:row>190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12</xdr:col>
                    <xdr:colOff>714375</xdr:colOff>
                    <xdr:row>190</xdr:row>
                    <xdr:rowOff>0</xdr:rowOff>
                  </from>
                  <to>
                    <xdr:col>12</xdr:col>
                    <xdr:colOff>914400</xdr:colOff>
                    <xdr:row>190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12</xdr:col>
                    <xdr:colOff>714375</xdr:colOff>
                    <xdr:row>190</xdr:row>
                    <xdr:rowOff>0</xdr:rowOff>
                  </from>
                  <to>
                    <xdr:col>12</xdr:col>
                    <xdr:colOff>914400</xdr:colOff>
                    <xdr:row>190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6"/>
  <sheetViews>
    <sheetView workbookViewId="0">
      <selection activeCell="B11" sqref="B11"/>
    </sheetView>
  </sheetViews>
  <sheetFormatPr defaultColWidth="9.16796875" defaultRowHeight="12.75" x14ac:dyDescent="0.15"/>
  <cols>
    <col min="1" max="1" width="28.85546875" style="1" customWidth="1"/>
    <col min="2" max="2" width="15.640625" style="3" customWidth="1"/>
    <col min="3" max="16384" width="9.16796875" style="1"/>
  </cols>
  <sheetData>
    <row r="1" spans="1:2" x14ac:dyDescent="0.15">
      <c r="A1" s="4" t="str">
        <f>IF('Expense Report'!C9=0,"No number entered",'Expense Report'!C9)</f>
        <v>No number entered</v>
      </c>
      <c r="B1" s="13" t="str">
        <f>IF('Expense Report'!C6=0,"No name entered",'Expense Report'!C6)</f>
        <v>No name entered</v>
      </c>
    </row>
    <row r="2" spans="1:2" x14ac:dyDescent="0.15">
      <c r="A2" s="5"/>
      <c r="B2" s="6"/>
    </row>
    <row r="3" spans="1:2" x14ac:dyDescent="0.15">
      <c r="A3" s="5"/>
      <c r="B3" s="26" t="s">
        <v>14</v>
      </c>
    </row>
    <row r="4" spans="1:2" x14ac:dyDescent="0.15">
      <c r="A4" s="5" t="s">
        <v>37</v>
      </c>
      <c r="B4" s="6">
        <f>SUMIF('Expense Report'!$M$37:$M$129,A4,'Expense Report'!$H$37:$H$129)</f>
        <v>0</v>
      </c>
    </row>
    <row r="5" spans="1:2" x14ac:dyDescent="0.15">
      <c r="A5" s="5" t="s">
        <v>83</v>
      </c>
      <c r="B5" s="6">
        <f>SUMIF('Expense Report'!$M$37:$M$129,A5,'Expense Report'!$H$37:$H$129)</f>
        <v>0</v>
      </c>
    </row>
    <row r="6" spans="1:2" x14ac:dyDescent="0.15">
      <c r="A6" s="5" t="s">
        <v>36</v>
      </c>
      <c r="B6" s="6">
        <f>SUMIF('Expense Report'!$M$37:$M$129,A6,'Expense Report'!$H$37:$H$129)</f>
        <v>0</v>
      </c>
    </row>
    <row r="7" spans="1:2" x14ac:dyDescent="0.15">
      <c r="A7" s="5" t="s">
        <v>84</v>
      </c>
      <c r="B7" s="6">
        <f>SUMIF('Expense Report'!$M$37:$M$129,A7,'Expense Report'!$H$37:$H$129)</f>
        <v>0</v>
      </c>
    </row>
    <row r="8" spans="1:2" x14ac:dyDescent="0.15">
      <c r="A8" s="5" t="s">
        <v>85</v>
      </c>
      <c r="B8" s="6">
        <f>SUMIF('Expense Report'!$M$37:$M$129,A8,'Expense Report'!$H$37:$H$129)</f>
        <v>0</v>
      </c>
    </row>
    <row r="9" spans="1:2" x14ac:dyDescent="0.15">
      <c r="A9" s="5" t="s">
        <v>86</v>
      </c>
      <c r="B9" s="6">
        <f>SUMIF('Expense Report'!$M$37:$M$129,A9,'Expense Report'!$H$37:$H$129)</f>
        <v>0</v>
      </c>
    </row>
    <row r="10" spans="1:2" x14ac:dyDescent="0.15">
      <c r="A10" s="5" t="s">
        <v>87</v>
      </c>
      <c r="B10" s="6">
        <f>SUMIF('Expense Report'!$M$37:$M$129,A10,'Expense Report'!$H$37:$H$129)</f>
        <v>0</v>
      </c>
    </row>
    <row r="11" spans="1:2" x14ac:dyDescent="0.15">
      <c r="A11" s="5" t="s">
        <v>88</v>
      </c>
      <c r="B11" s="6">
        <f>SUMIF('Expense Report'!$M$37:$M$129,A11,'Expense Report'!$H$37:$H$129)</f>
        <v>0</v>
      </c>
    </row>
    <row r="12" spans="1:2" x14ac:dyDescent="0.15">
      <c r="A12" s="5" t="s">
        <v>89</v>
      </c>
      <c r="B12" s="6">
        <f>SUMIF('Expense Report'!$M$37:$M$129,A12,'Expense Report'!$H$37:$H$129)</f>
        <v>0</v>
      </c>
    </row>
    <row r="13" spans="1:2" x14ac:dyDescent="0.15">
      <c r="A13" s="5" t="s">
        <v>90</v>
      </c>
      <c r="B13" s="6">
        <f>SUMIF('Expense Report'!$M$37:$M$129,A13,'Expense Report'!$H$37:$H$129)</f>
        <v>0</v>
      </c>
    </row>
    <row r="14" spans="1:2" x14ac:dyDescent="0.15">
      <c r="A14" s="5" t="s">
        <v>91</v>
      </c>
      <c r="B14" s="6">
        <f>SUMIF('Expense Report'!$M$37:$M$129,A14,'Expense Report'!$H$37:$H$129)</f>
        <v>0</v>
      </c>
    </row>
    <row r="15" spans="1:2" x14ac:dyDescent="0.15">
      <c r="A15" s="5" t="s">
        <v>92</v>
      </c>
      <c r="B15" s="6">
        <f>SUMIF('Expense Report'!$M$37:$M$129,A15,'Expense Report'!$H$37:$H$129)</f>
        <v>0</v>
      </c>
    </row>
    <row r="16" spans="1:2" x14ac:dyDescent="0.15">
      <c r="A16" s="5" t="s">
        <v>93</v>
      </c>
      <c r="B16" s="6">
        <f>SUMIF('Expense Report'!$M$37:$M$129,A16,'Expense Report'!$H$37:$H$129)</f>
        <v>0</v>
      </c>
    </row>
    <row r="17" spans="1:2" x14ac:dyDescent="0.15">
      <c r="A17" s="5" t="s">
        <v>94</v>
      </c>
      <c r="B17" s="6">
        <f>SUMIF('Expense Report'!$M$37:$M$129,A17,'Expense Report'!$H$37:$H$129)</f>
        <v>0</v>
      </c>
    </row>
    <row r="18" spans="1:2" x14ac:dyDescent="0.15">
      <c r="A18" s="5"/>
      <c r="B18" s="6"/>
    </row>
    <row r="19" spans="1:2" x14ac:dyDescent="0.15">
      <c r="A19" s="5" t="s">
        <v>95</v>
      </c>
      <c r="B19" s="6">
        <f>-'Expense Report'!H165</f>
        <v>0</v>
      </c>
    </row>
    <row r="20" spans="1:2" x14ac:dyDescent="0.15">
      <c r="A20" s="5"/>
      <c r="B20" s="6"/>
    </row>
    <row r="21" spans="1:2" x14ac:dyDescent="0.15">
      <c r="A21" s="5" t="s">
        <v>97</v>
      </c>
      <c r="B21" s="6">
        <f>-'Expense Report'!H21</f>
        <v>0</v>
      </c>
    </row>
    <row r="22" spans="1:2" x14ac:dyDescent="0.15">
      <c r="A22" s="5" t="s">
        <v>113</v>
      </c>
      <c r="B22" s="6">
        <f>'Expense Report'!H21</f>
        <v>0</v>
      </c>
    </row>
    <row r="23" spans="1:2" x14ac:dyDescent="0.15">
      <c r="A23" s="5"/>
      <c r="B23" s="6"/>
    </row>
    <row r="24" spans="1:2" x14ac:dyDescent="0.15">
      <c r="A24" s="5" t="s">
        <v>114</v>
      </c>
      <c r="B24" s="6">
        <f>-'Expense Report'!H37</f>
        <v>0</v>
      </c>
    </row>
    <row r="25" spans="1:2" x14ac:dyDescent="0.15">
      <c r="A25" s="5"/>
      <c r="B25" s="6"/>
    </row>
    <row r="26" spans="1:2" x14ac:dyDescent="0.15">
      <c r="A26" s="42" t="s">
        <v>127</v>
      </c>
      <c r="B26" s="43">
        <f>SUM(B4:B24)</f>
        <v>0</v>
      </c>
    </row>
  </sheetData>
  <sheetProtection selectLockedCells="1" selectUnlockedCells="1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14"/>
  <sheetViews>
    <sheetView workbookViewId="0">
      <selection activeCell="A9" sqref="A9"/>
    </sheetView>
  </sheetViews>
  <sheetFormatPr defaultRowHeight="14.25" x14ac:dyDescent="0.2"/>
  <cols>
    <col min="1" max="1" width="33.44140625" style="2" customWidth="1"/>
  </cols>
  <sheetData>
    <row r="1" spans="1:1" x14ac:dyDescent="0.2">
      <c r="A1" s="2" t="s">
        <v>37</v>
      </c>
    </row>
    <row r="2" spans="1:1" x14ac:dyDescent="0.2">
      <c r="A2" s="2" t="s">
        <v>83</v>
      </c>
    </row>
    <row r="3" spans="1:1" x14ac:dyDescent="0.2">
      <c r="A3" s="2" t="s">
        <v>36</v>
      </c>
    </row>
    <row r="4" spans="1:1" x14ac:dyDescent="0.2">
      <c r="A4" s="2" t="s">
        <v>84</v>
      </c>
    </row>
    <row r="5" spans="1:1" x14ac:dyDescent="0.2">
      <c r="A5" s="2" t="s">
        <v>85</v>
      </c>
    </row>
    <row r="6" spans="1:1" x14ac:dyDescent="0.2">
      <c r="A6" s="2" t="s">
        <v>86</v>
      </c>
    </row>
    <row r="7" spans="1:1" x14ac:dyDescent="0.2">
      <c r="A7" s="2" t="s">
        <v>87</v>
      </c>
    </row>
    <row r="8" spans="1:1" x14ac:dyDescent="0.2">
      <c r="A8" s="2" t="s">
        <v>88</v>
      </c>
    </row>
    <row r="9" spans="1:1" x14ac:dyDescent="0.2">
      <c r="A9" s="2" t="s">
        <v>89</v>
      </c>
    </row>
    <row r="10" spans="1:1" x14ac:dyDescent="0.2">
      <c r="A10" s="2" t="s">
        <v>90</v>
      </c>
    </row>
    <row r="11" spans="1:1" x14ac:dyDescent="0.2">
      <c r="A11" s="2" t="s">
        <v>91</v>
      </c>
    </row>
    <row r="12" spans="1:1" x14ac:dyDescent="0.2">
      <c r="A12" s="2" t="s">
        <v>92</v>
      </c>
    </row>
    <row r="13" spans="1:1" x14ac:dyDescent="0.2">
      <c r="A13" s="2" t="s">
        <v>93</v>
      </c>
    </row>
    <row r="14" spans="1:1" x14ac:dyDescent="0.2">
      <c r="A14" s="2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E403C774C5E48A35767434BC3C3F7" ma:contentTypeVersion="6" ma:contentTypeDescription="Create a new document." ma:contentTypeScope="" ma:versionID="d78eefeea35d3e05d2bdb07cf322fbf3">
  <xsd:schema xmlns:xsd="http://www.w3.org/2001/XMLSchema" xmlns:xs="http://www.w3.org/2001/XMLSchema" xmlns:p="http://schemas.microsoft.com/office/2006/metadata/properties" xmlns:ns2="6a88188e-ef73-46eb-bc03-06205c9ea879" targetNamespace="http://schemas.microsoft.com/office/2006/metadata/properties" ma:root="true" ma:fieldsID="54b2c0daa009e993c86e67abf0d74c3e" ns2:_="">
    <xsd:import namespace="6a88188e-ef73-46eb-bc03-06205c9ea8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8188e-ef73-46eb-bc03-06205c9ea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32F1A1-D539-49A6-8D26-71A74419B18A}">
  <ds:schemaRefs>
    <ds:schemaRef ds:uri="http://schemas.microsoft.com/office/2006/metadata/propertie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F6FC183F-CCCB-42F3-BB4F-B5781D01B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44055D-F96A-47D4-B430-866B90936F8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a88188e-ef73-46eb-bc03-06205c9ea87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Expense Report</vt:lpstr>
      <vt:lpstr>Totals</vt:lpstr>
      <vt:lpstr>List</vt:lpstr>
      <vt:lpstr>Code</vt:lpstr>
      <vt:lpstr>Expense Report!Print_Area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Bainbridge</dc:creator>
  <cp:keywords/>
  <dc:description/>
  <cp:lastModifiedBy>Stephen Hobson</cp:lastModifiedBy>
  <cp:revision/>
  <cp:lastPrinted>2026-01-13T22:17:39Z</cp:lastPrinted>
  <dcterms:created xsi:type="dcterms:W3CDTF">2000-11-30T13:37:09Z</dcterms:created>
  <dcterms:modified xsi:type="dcterms:W3CDTF">2026-01-15T14:24:52Z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  <property fmtid="{D5CDD505-2E9C-101B-9397-08002B2CF9AE}" pid="3" name="Order">
    <vt:r8>100000</vt:r8>
  </property>
  <property fmtid="{D5CDD505-2E9C-101B-9397-08002B2CF9AE}" pid="4" name="ContentTypeId">
    <vt:lpwstr>0x010100310E403C774C5E48A35767434BC3C3F7</vt:lpwstr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xd_ProgID">
    <vt:lpwstr/>
  </property>
  <property fmtid="{D5CDD505-2E9C-101B-9397-08002B2CF9AE}" pid="8" name="TemplateUrl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MSIP_Label_0b7f5c43-ab78-45a0-9605-1c0d07809f22_Enabled">
    <vt:lpwstr>true</vt:lpwstr>
  </property>
  <property fmtid="{D5CDD505-2E9C-101B-9397-08002B2CF9AE}" pid="12" name="MSIP_Label_0b7f5c43-ab78-45a0-9605-1c0d07809f22_SetDate">
    <vt:lpwstr>2023-12-30T15:52:34Z</vt:lpwstr>
  </property>
  <property fmtid="{D5CDD505-2E9C-101B-9397-08002B2CF9AE}" pid="13" name="MSIP_Label_0b7f5c43-ab78-45a0-9605-1c0d07809f22_Method">
    <vt:lpwstr>Standard</vt:lpwstr>
  </property>
  <property fmtid="{D5CDD505-2E9C-101B-9397-08002B2CF9AE}" pid="14" name="MSIP_Label_0b7f5c43-ab78-45a0-9605-1c0d07809f22_Name">
    <vt:lpwstr>defa4170-0d19-0005-0004-bc88714345d2</vt:lpwstr>
  </property>
  <property fmtid="{D5CDD505-2E9C-101B-9397-08002B2CF9AE}" pid="15" name="MSIP_Label_0b7f5c43-ab78-45a0-9605-1c0d07809f22_SiteId">
    <vt:lpwstr>70796f87-5b13-4f60-b40b-3fd3ac22a7f7</vt:lpwstr>
  </property>
  <property fmtid="{D5CDD505-2E9C-101B-9397-08002B2CF9AE}" pid="16" name="MSIP_Label_0b7f5c43-ab78-45a0-9605-1c0d07809f22_ActionId">
    <vt:lpwstr>d5d4f4c2-ee87-496f-81b0-cdd539e5d293</vt:lpwstr>
  </property>
  <property fmtid="{D5CDD505-2E9C-101B-9397-08002B2CF9AE}" pid="17" name="MSIP_Label_0b7f5c43-ab78-45a0-9605-1c0d07809f22_ContentBits">
    <vt:lpwstr>0</vt:lpwstr>
  </property>
</Properties>
</file>